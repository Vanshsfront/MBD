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D5A55034-7E03-43A9-86A7-E55C3B27506C}" xr6:coauthVersionLast="47" xr6:coauthVersionMax="47" xr10:uidLastSave="{00000000-0000-0000-0000-000000000000}"/>
  <bookViews>
    <workbookView xWindow="-108" yWindow="-108" windowWidth="23256" windowHeight="12456" activeTab="1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2" l="1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F58" i="2"/>
  <c r="K54" i="2" l="1"/>
  <c r="K58" i="2"/>
  <c r="K61" i="2" l="1"/>
</calcChain>
</file>

<file path=xl/sharedStrings.xml><?xml version="1.0" encoding="utf-8"?>
<sst xmlns="http://schemas.openxmlformats.org/spreadsheetml/2006/main" count="239" uniqueCount="159">
  <si>
    <t>Department</t>
  </si>
  <si>
    <t>Service</t>
  </si>
  <si>
    <t>Cost</t>
  </si>
  <si>
    <t>GST</t>
  </si>
  <si>
    <t>Medical</t>
  </si>
  <si>
    <t>Medical Consultation</t>
  </si>
  <si>
    <t>Physiotherapy</t>
  </si>
  <si>
    <t>Massage</t>
  </si>
  <si>
    <t>Yoga</t>
  </si>
  <si>
    <t>Specialised Yoga</t>
  </si>
  <si>
    <t>Counselling</t>
  </si>
  <si>
    <t>Nutrition</t>
  </si>
  <si>
    <t>Nutrition Consultation (Associate Nutritionist)</t>
  </si>
  <si>
    <t>S&amp;C</t>
  </si>
  <si>
    <t>Strength &amp; Conditioning</t>
  </si>
  <si>
    <t>Consultant</t>
  </si>
  <si>
    <t>Prerna Chhugani</t>
  </si>
  <si>
    <t>Yasir Zahid</t>
  </si>
  <si>
    <t>Physiotherapy Consultation &amp; Session (Head Physiotherapist)</t>
  </si>
  <si>
    <t>Physiotherapy Session (Head Physiotherapist)</t>
  </si>
  <si>
    <t>Dry Needling</t>
  </si>
  <si>
    <t>Therapeutic Ultrasound</t>
  </si>
  <si>
    <t>K-Taping / Dry Needling / Therapeutic Ultrasound</t>
  </si>
  <si>
    <t>K-Taping</t>
  </si>
  <si>
    <t>Devanshi Vira</t>
  </si>
  <si>
    <t>Tasneem Ansari</t>
  </si>
  <si>
    <t>Deepa Mourya</t>
  </si>
  <si>
    <t xml:space="preserve">Aanchal Sharma </t>
  </si>
  <si>
    <t>Sanya Jain</t>
  </si>
  <si>
    <t>Sanjay More</t>
  </si>
  <si>
    <t>Dipali Sawant</t>
  </si>
  <si>
    <t>Harshali Karkare</t>
  </si>
  <si>
    <t>Sports / Deep Tissue Massage (30 min)</t>
  </si>
  <si>
    <t>Sports / Deep Tissue Massage (60 min)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</si>
  <si>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</si>
  <si>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</si>
  <si>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</si>
  <si>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</si>
  <si>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Naina Daryanani</t>
  </si>
  <si>
    <t>Shivli Malani</t>
  </si>
  <si>
    <t>Yoga &amp; Sound Bath</t>
  </si>
  <si>
    <t>Yoga &amp; Sound Healing / Breathwork</t>
  </si>
  <si>
    <t>Wellness Yoga (with Sound Bath &amp; Breathwork)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</si>
  <si>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</si>
  <si>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</si>
  <si>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</si>
  <si>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</si>
  <si>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Physiotherapy Consultation &amp; Session (Senior Physiotherapist)</t>
  </si>
  <si>
    <t>Physiotherapy Session (Senior Physiotherapist)</t>
  </si>
  <si>
    <t>Rehabilitation Session (Senior Physiotherapist)</t>
  </si>
  <si>
    <t>Physiotherapy Consultation (Senior Physiotherapist)</t>
  </si>
  <si>
    <t>Physiotherapy Home Visit (Senior Physiotherapist)</t>
  </si>
  <si>
    <t>Online Physiotherapy Session (Senior Physiotherapist)</t>
  </si>
  <si>
    <t>Group Yoga (Trio)</t>
  </si>
  <si>
    <t>Group Yoga (Duo)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</si>
  <si>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</si>
  <si>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</si>
  <si>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</si>
  <si>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</si>
  <si>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</si>
  <si>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Sheetal Somaiya</t>
  </si>
  <si>
    <t>Nutrition Consultation (Senior Nutritonist)</t>
  </si>
  <si>
    <t>Follow up Nutrition Session (Senior Nutritionist)</t>
  </si>
  <si>
    <t>Rajal Shah</t>
  </si>
  <si>
    <t>Follow up Nutrition Session (Associate Nutritionist)</t>
  </si>
  <si>
    <t>Danesh Doctor</t>
  </si>
  <si>
    <t>Discount</t>
  </si>
  <si>
    <t>Time</t>
  </si>
  <si>
    <t>Date</t>
  </si>
  <si>
    <t>Month</t>
  </si>
  <si>
    <t>Year</t>
  </si>
  <si>
    <t>Payment Option</t>
  </si>
  <si>
    <t>Minute</t>
  </si>
  <si>
    <t>SERVICE TABLE</t>
  </si>
  <si>
    <t>DROPDOWN OPTION LIST</t>
  </si>
  <si>
    <t>AM/PM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</si>
  <si>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</si>
  <si>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</si>
  <si>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</si>
  <si>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</si>
  <si>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</si>
  <si>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</si>
  <si>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</si>
  <si>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</si>
  <si>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</si>
  <si>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</si>
  <si>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</si>
  <si>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</si>
  <si>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</si>
  <si>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</si>
  <si>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</si>
  <si>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</si>
  <si>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</si>
  <si>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</si>
  <si>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</si>
  <si>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</si>
  <si>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</si>
  <si>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</si>
  <si>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</si>
  <si>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</si>
  <si>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Description of Service / Particulars</t>
  </si>
  <si>
    <t>HSN/SAC</t>
  </si>
  <si>
    <t>No. of sessions</t>
  </si>
  <si>
    <t>Disc.</t>
  </si>
  <si>
    <t>Per session Amount</t>
  </si>
  <si>
    <t>GST Rate</t>
  </si>
  <si>
    <t>Amount</t>
  </si>
  <si>
    <t>Total GST 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</si>
  <si>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</si>
  <si>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</si>
  <si>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</si>
  <si>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</si>
  <si>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</si>
  <si>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</si>
  <si>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</si>
  <si>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</si>
  <si>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</si>
  <si>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</si>
  <si>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</si>
  <si>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</si>
  <si>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</si>
  <si>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</si>
  <si>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</si>
  <si>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</si>
  <si>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</si>
  <si>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</si>
  <si>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</si>
  <si>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</si>
  <si>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</si>
  <si>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</si>
  <si>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</si>
  <si>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Cupping (Head Physiotherapist)</t>
  </si>
  <si>
    <t>Rehabilitation with Cupping (Head Physiotherapist)</t>
  </si>
  <si>
    <t>Cupping (Senior Physiotherapist)</t>
  </si>
  <si>
    <t>Rehabilitation with Cupping (Senior Physiotherapist)</t>
  </si>
  <si>
    <t>HSN/SAC Codes</t>
  </si>
  <si>
    <t>Additional Discount</t>
  </si>
  <si>
    <t>Final Amount</t>
  </si>
  <si>
    <t>Senior Citizen Discount</t>
  </si>
  <si>
    <t>Armed Forces Discount</t>
  </si>
  <si>
    <t>Total              No. of sessions</t>
  </si>
  <si>
    <t>Discount on Final Amount</t>
  </si>
  <si>
    <t>Medical Consultation (Wellness)</t>
  </si>
  <si>
    <t>Dr. Prerna Chhugani</t>
  </si>
  <si>
    <t>Dr. Yasir Zahid (PT)</t>
  </si>
  <si>
    <t>Dr. Devanshi Vira (PT)</t>
  </si>
  <si>
    <t>Dr. Tasneem Ansari (PT)</t>
  </si>
  <si>
    <t>Dr. Deepa Mourya (PT)</t>
  </si>
  <si>
    <t>Dr. Aanchal Sharma (PT)</t>
  </si>
  <si>
    <t>Dr. Sanya Jain (PT)</t>
  </si>
  <si>
    <t>Medical Consultation (Extended)</t>
  </si>
  <si>
    <t>Cardio Session (Self)</t>
  </si>
  <si>
    <t xml:space="preserve">Monthly Cardio Package (Self) </t>
  </si>
  <si>
    <t>-</t>
  </si>
  <si>
    <t>Personal Coaching (1:1)</t>
  </si>
  <si>
    <t>Personal Coaching (Duo)</t>
  </si>
  <si>
    <t>Team SCCS</t>
  </si>
  <si>
    <t>Personal Coaching (Trio)</t>
  </si>
  <si>
    <t>COL-MBD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</si>
</sst>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  <numFmt numFmtId="169" formatCode="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theme="7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05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9" fontId="6" fillId="0" borderId="5" xfId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9" fontId="2" fillId="0" borderId="6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64" fontId="2" fillId="0" borderId="7" xfId="0" applyNumberFormat="1" applyFont="1" applyBorder="1" applyAlignment="1">
      <alignment vertical="center" wrapText="1"/>
    </xf>
    <xf numFmtId="9" fontId="2" fillId="0" borderId="7" xfId="1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4" fontId="2" fillId="0" borderId="9" xfId="0" applyNumberFormat="1" applyFont="1" applyBorder="1" applyAlignment="1">
      <alignment vertical="center" wrapText="1"/>
    </xf>
    <xf numFmtId="9" fontId="2" fillId="0" borderId="9" xfId="1" applyFont="1" applyBorder="1" applyAlignment="1">
      <alignment vertical="center" wrapText="1"/>
    </xf>
    <xf numFmtId="0" fontId="7" fillId="4" borderId="1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9" fillId="4" borderId="11" xfId="0" applyFont="1" applyFill="1" applyBorder="1"/>
    <xf numFmtId="0" fontId="8" fillId="4" borderId="10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Protection="1">
      <protection locked="0"/>
    </xf>
    <xf numFmtId="0" fontId="8" fillId="4" borderId="12" xfId="0" applyFont="1" applyFill="1" applyBorder="1" applyAlignment="1">
      <alignment vertical="center"/>
    </xf>
    <xf numFmtId="0" fontId="11" fillId="4" borderId="19" xfId="0" applyFont="1" applyFill="1" applyBorder="1" applyAlignment="1">
      <alignment horizontal="left" vertical="center"/>
    </xf>
    <xf numFmtId="0" fontId="9" fillId="4" borderId="0" xfId="0" applyFont="1" applyFill="1"/>
    <xf numFmtId="0" fontId="9" fillId="4" borderId="20" xfId="0" applyFont="1" applyFill="1" applyBorder="1"/>
    <xf numFmtId="0" fontId="9" fillId="4" borderId="21" xfId="0" applyFont="1" applyFill="1" applyBorder="1"/>
    <xf numFmtId="0" fontId="9" fillId="4" borderId="7" xfId="0" applyFont="1" applyFill="1" applyBorder="1"/>
    <xf numFmtId="0" fontId="9" fillId="4" borderId="22" xfId="0" applyFont="1" applyFill="1" applyBorder="1"/>
    <xf numFmtId="0" fontId="7" fillId="4" borderId="12" xfId="0" applyFont="1" applyFill="1" applyBorder="1" applyAlignment="1">
      <alignment vertical="center"/>
    </xf>
    <xf numFmtId="0" fontId="9" fillId="4" borderId="19" xfId="0" applyFont="1" applyFill="1" applyBorder="1"/>
    <xf numFmtId="0" fontId="9" fillId="4" borderId="8" xfId="0" applyFont="1" applyFill="1" applyBorder="1"/>
    <xf numFmtId="0" fontId="9" fillId="4" borderId="8" xfId="0" applyFont="1" applyFill="1" applyBorder="1" applyAlignment="1" applyProtection="1">
      <alignment horizontal="center"/>
      <protection locked="0"/>
    </xf>
    <xf numFmtId="0" fontId="8" fillId="4" borderId="23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 applyProtection="1">
      <alignment vertical="top"/>
      <protection locked="0"/>
    </xf>
    <xf numFmtId="9" fontId="9" fillId="4" borderId="10" xfId="1" applyFont="1" applyFill="1" applyBorder="1" applyAlignment="1" applyProtection="1">
      <alignment vertical="top"/>
      <protection locked="0"/>
    </xf>
    <xf numFmtId="166" fontId="9" fillId="4" borderId="10" xfId="1" applyNumberFormat="1" applyFont="1" applyFill="1" applyBorder="1" applyAlignment="1" applyProtection="1">
      <alignment vertical="top"/>
    </xf>
    <xf numFmtId="0" fontId="9" fillId="4" borderId="30" xfId="0" applyFont="1" applyFill="1" applyBorder="1" applyAlignment="1" applyProtection="1">
      <alignment vertical="top"/>
      <protection locked="0"/>
    </xf>
    <xf numFmtId="9" fontId="9" fillId="4" borderId="12" xfId="1" applyFont="1" applyFill="1" applyBorder="1" applyAlignment="1" applyProtection="1">
      <alignment vertical="top"/>
      <protection locked="0"/>
    </xf>
    <xf numFmtId="166" fontId="9" fillId="4" borderId="12" xfId="1" applyNumberFormat="1" applyFont="1" applyFill="1" applyBorder="1" applyAlignment="1" applyProtection="1">
      <alignment vertical="top"/>
    </xf>
    <xf numFmtId="0" fontId="9" fillId="4" borderId="30" xfId="0" applyFont="1" applyFill="1" applyBorder="1" applyAlignment="1" applyProtection="1">
      <alignment vertical="top" wrapText="1"/>
      <protection locked="0"/>
    </xf>
    <xf numFmtId="9" fontId="9" fillId="4" borderId="12" xfId="1" applyFont="1" applyFill="1" applyBorder="1" applyAlignment="1" applyProtection="1">
      <alignment vertical="top" wrapText="1"/>
      <protection locked="0"/>
    </xf>
    <xf numFmtId="166" fontId="9" fillId="4" borderId="12" xfId="1" applyNumberFormat="1" applyFont="1" applyFill="1" applyBorder="1" applyAlignment="1" applyProtection="1">
      <alignment vertical="top" wrapText="1"/>
    </xf>
    <xf numFmtId="0" fontId="9" fillId="4" borderId="30" xfId="0" applyFont="1" applyFill="1" applyBorder="1" applyProtection="1">
      <protection locked="0"/>
    </xf>
    <xf numFmtId="9" fontId="9" fillId="4" borderId="12" xfId="1" applyFont="1" applyFill="1" applyBorder="1" applyAlignment="1" applyProtection="1">
      <protection locked="0"/>
    </xf>
    <xf numFmtId="166" fontId="9" fillId="4" borderId="12" xfId="1" applyNumberFormat="1" applyFont="1" applyFill="1" applyBorder="1" applyAlignment="1" applyProtection="1"/>
    <xf numFmtId="0" fontId="11" fillId="4" borderId="30" xfId="0" applyFont="1" applyFill="1" applyBorder="1" applyAlignment="1" applyProtection="1">
      <alignment vertical="center" wrapText="1"/>
      <protection locked="0"/>
    </xf>
    <xf numFmtId="9" fontId="11" fillId="4" borderId="12" xfId="1" applyFont="1" applyFill="1" applyBorder="1" applyAlignment="1" applyProtection="1">
      <alignment vertical="center" wrapText="1"/>
      <protection locked="0"/>
    </xf>
    <xf numFmtId="166" fontId="11" fillId="4" borderId="12" xfId="1" applyNumberFormat="1" applyFont="1" applyFill="1" applyBorder="1" applyAlignment="1" applyProtection="1">
      <alignment vertical="center" wrapText="1"/>
    </xf>
    <xf numFmtId="9" fontId="11" fillId="4" borderId="12" xfId="1" applyFont="1" applyFill="1" applyBorder="1" applyAlignment="1" applyProtection="1">
      <alignment vertical="center"/>
      <protection locked="0"/>
    </xf>
    <xf numFmtId="166" fontId="11" fillId="4" borderId="12" xfId="1" applyNumberFormat="1" applyFont="1" applyFill="1" applyBorder="1" applyAlignment="1" applyProtection="1">
      <alignment vertical="center"/>
    </xf>
    <xf numFmtId="0" fontId="11" fillId="4" borderId="30" xfId="0" applyFont="1" applyFill="1" applyBorder="1"/>
    <xf numFmtId="0" fontId="8" fillId="4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left" vertical="top" wrapText="1"/>
    </xf>
    <xf numFmtId="0" fontId="11" fillId="4" borderId="19" xfId="0" applyFont="1" applyFill="1" applyBorder="1" applyAlignment="1">
      <alignment horizontal="left" vertical="top" wrapText="1"/>
    </xf>
    <xf numFmtId="0" fontId="8" fillId="4" borderId="8" xfId="0" applyFont="1" applyFill="1" applyBorder="1" applyAlignment="1" applyProtection="1">
      <alignment horizontal="center" vertical="center"/>
      <protection locked="0"/>
    </xf>
    <xf numFmtId="165" fontId="2" fillId="0" borderId="41" xfId="0" applyNumberFormat="1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vertical="top"/>
    </xf>
    <xf numFmtId="0" fontId="8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top" wrapText="1"/>
    </xf>
    <xf numFmtId="1" fontId="2" fillId="0" borderId="7" xfId="0" applyNumberFormat="1" applyFont="1" applyBorder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1" fontId="2" fillId="0" borderId="9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0" fontId="9" fillId="4" borderId="29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/>
    </xf>
    <xf numFmtId="0" fontId="9" fillId="4" borderId="30" xfId="0" applyFont="1" applyFill="1" applyBorder="1" applyAlignment="1">
      <alignment vertical="top" wrapText="1"/>
    </xf>
    <xf numFmtId="0" fontId="9" fillId="4" borderId="30" xfId="0" applyFont="1" applyFill="1" applyBorder="1"/>
    <xf numFmtId="0" fontId="11" fillId="4" borderId="30" xfId="0" applyFont="1" applyFill="1" applyBorder="1" applyAlignment="1">
      <alignment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19" xfId="0" applyFont="1" applyFill="1" applyBorder="1" applyProtection="1">
      <protection locked="0"/>
    </xf>
    <xf numFmtId="0" fontId="11" fillId="4" borderId="13" xfId="0" applyFont="1" applyFill="1" applyBorder="1" applyProtection="1">
      <protection locked="0"/>
    </xf>
    <xf numFmtId="0" fontId="6" fillId="3" borderId="42" xfId="0" applyFont="1" applyFill="1" applyBorder="1" applyAlignment="1">
      <alignment vertical="center" wrapText="1"/>
    </xf>
    <xf numFmtId="164" fontId="6" fillId="3" borderId="42" xfId="0" applyNumberFormat="1" applyFont="1" applyFill="1" applyBorder="1" applyAlignment="1">
      <alignment vertical="center" wrapText="1"/>
    </xf>
    <xf numFmtId="9" fontId="6" fillId="3" borderId="42" xfId="1" applyFont="1" applyFill="1" applyBorder="1" applyAlignment="1">
      <alignment vertical="center" wrapText="1"/>
    </xf>
    <xf numFmtId="165" fontId="6" fillId="3" borderId="42" xfId="0" applyNumberFormat="1" applyFont="1" applyFill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1" fontId="2" fillId="0" borderId="46" xfId="0" applyNumberFormat="1" applyFont="1" applyBorder="1" applyAlignment="1">
      <alignment vertical="center" wrapText="1"/>
    </xf>
    <xf numFmtId="164" fontId="2" fillId="0" borderId="46" xfId="0" applyNumberFormat="1" applyFont="1" applyBorder="1" applyAlignment="1">
      <alignment vertical="center" wrapText="1"/>
    </xf>
    <xf numFmtId="9" fontId="2" fillId="0" borderId="46" xfId="1" applyFont="1" applyBorder="1" applyAlignment="1">
      <alignment vertical="center" wrapText="1"/>
    </xf>
    <xf numFmtId="0" fontId="2" fillId="0" borderId="47" xfId="0" applyFont="1" applyBorder="1" applyAlignment="1">
      <alignment vertical="center" wrapText="1"/>
    </xf>
    <xf numFmtId="1" fontId="2" fillId="0" borderId="47" xfId="0" applyNumberFormat="1" applyFont="1" applyBorder="1" applyAlignment="1">
      <alignment vertical="center" wrapText="1"/>
    </xf>
    <xf numFmtId="164" fontId="2" fillId="0" borderId="47" xfId="0" applyNumberFormat="1" applyFont="1" applyBorder="1" applyAlignment="1">
      <alignment vertical="center" wrapText="1"/>
    </xf>
    <xf numFmtId="9" fontId="2" fillId="0" borderId="47" xfId="1" applyFont="1" applyBorder="1" applyAlignment="1">
      <alignment vertical="center" wrapText="1"/>
    </xf>
    <xf numFmtId="1" fontId="2" fillId="0" borderId="48" xfId="0" applyNumberFormat="1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64" fontId="15" fillId="0" borderId="5" xfId="0" applyNumberFormat="1" applyFont="1" applyBorder="1" applyAlignment="1">
      <alignment vertical="center" wrapText="1"/>
    </xf>
    <xf numFmtId="9" fontId="15" fillId="0" borderId="5" xfId="1" applyFont="1" applyFill="1" applyBorder="1" applyAlignment="1">
      <alignment vertical="center" wrapText="1"/>
    </xf>
    <xf numFmtId="9" fontId="2" fillId="0" borderId="42" xfId="1" applyFont="1" applyBorder="1" applyAlignment="1">
      <alignment vertical="center" wrapText="1"/>
    </xf>
    <xf numFmtId="165" fontId="2" fillId="0" borderId="42" xfId="0" applyNumberFormat="1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7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/>
    </xf>
    <xf numFmtId="0" fontId="11" fillId="4" borderId="21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4" borderId="12" xfId="0" applyFont="1" applyFill="1" applyBorder="1" applyAlignment="1" applyProtection="1">
      <alignment horizontal="left"/>
      <protection locked="0"/>
    </xf>
    <xf numFmtId="0" fontId="9" fillId="4" borderId="0" xfId="0" applyFont="1" applyFill="1" applyAlignment="1" applyProtection="1">
      <alignment horizontal="left"/>
      <protection locked="0"/>
    </xf>
    <xf numFmtId="0" fontId="9" fillId="4" borderId="8" xfId="0" applyFont="1" applyFill="1" applyBorder="1" applyAlignment="1">
      <alignment horizontal="left"/>
    </xf>
    <xf numFmtId="0" fontId="11" fillId="4" borderId="13" xfId="0" applyFont="1" applyFill="1" applyBorder="1" applyAlignment="1">
      <alignment horizontal="left" vertical="top"/>
    </xf>
    <xf numFmtId="0" fontId="11" fillId="4" borderId="13" xfId="0" applyFont="1" applyFill="1" applyBorder="1" applyAlignment="1">
      <alignment horizontal="left" vertical="top" wrapText="1"/>
    </xf>
    <xf numFmtId="164" fontId="2" fillId="0" borderId="41" xfId="0" applyNumberFormat="1" applyFont="1" applyBorder="1" applyAlignment="1">
      <alignment vertical="center" wrapText="1"/>
    </xf>
    <xf numFmtId="9" fontId="2" fillId="0" borderId="41" xfId="1" applyFont="1" applyBorder="1" applyAlignment="1">
      <alignment vertical="center" wrapText="1"/>
    </xf>
    <xf numFmtId="9" fontId="2" fillId="0" borderId="49" xfId="1" applyFont="1" applyBorder="1" applyAlignment="1">
      <alignment vertical="center" wrapText="1"/>
    </xf>
    <xf numFmtId="165" fontId="2" fillId="0" borderId="49" xfId="0" applyNumberFormat="1" applyFont="1" applyBorder="1" applyAlignment="1">
      <alignment vertical="center" wrapText="1"/>
    </xf>
    <xf numFmtId="0" fontId="2" fillId="0" borderId="49" xfId="0" applyFont="1" applyBorder="1" applyAlignment="1">
      <alignment vertical="center" wrapText="1"/>
    </xf>
    <xf numFmtId="165" fontId="8" fillId="4" borderId="8" xfId="0" applyNumberFormat="1" applyFont="1" applyFill="1" applyBorder="1" applyAlignment="1">
      <alignment horizontal="center" vertical="center"/>
    </xf>
    <xf numFmtId="169" fontId="8" fillId="4" borderId="18" xfId="0" applyNumberFormat="1" applyFont="1" applyFill="1" applyBorder="1" applyAlignment="1" applyProtection="1">
      <alignment horizontal="center" vertical="center"/>
      <protection locked="0"/>
    </xf>
    <xf numFmtId="1" fontId="2" fillId="0" borderId="50" xfId="0" applyNumberFormat="1" applyFont="1" applyBorder="1" applyAlignment="1">
      <alignment vertical="center" wrapText="1"/>
    </xf>
    <xf numFmtId="9" fontId="11" fillId="4" borderId="12" xfId="1" applyFont="1" applyFill="1" applyBorder="1" applyAlignment="1">
      <alignment vertical="center" wrapText="1"/>
    </xf>
    <xf numFmtId="9" fontId="11" fillId="4" borderId="13" xfId="1" applyFont="1" applyFill="1" applyBorder="1" applyAlignment="1">
      <alignment vertical="center" wrapText="1"/>
    </xf>
    <xf numFmtId="9" fontId="11" fillId="4" borderId="21" xfId="1" applyFont="1" applyFill="1" applyBorder="1" applyAlignment="1">
      <alignment vertical="center"/>
    </xf>
    <xf numFmtId="9" fontId="11" fillId="4" borderId="24" xfId="1" applyFont="1" applyFill="1" applyBorder="1" applyAlignment="1">
      <alignment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167" fontId="8" fillId="4" borderId="10" xfId="0" applyNumberFormat="1" applyFont="1" applyFill="1" applyBorder="1" applyAlignment="1">
      <alignment horizontal="center" vertical="center" wrapText="1"/>
    </xf>
    <xf numFmtId="167" fontId="8" fillId="4" borderId="11" xfId="0" applyNumberFormat="1" applyFont="1" applyFill="1" applyBorder="1" applyAlignment="1">
      <alignment horizontal="center" vertical="center" wrapText="1"/>
    </xf>
    <xf numFmtId="167" fontId="8" fillId="4" borderId="12" xfId="0" applyNumberFormat="1" applyFont="1" applyFill="1" applyBorder="1" applyAlignment="1">
      <alignment horizontal="center" vertical="center" wrapText="1"/>
    </xf>
    <xf numFmtId="167" fontId="8" fillId="4" borderId="13" xfId="0" applyNumberFormat="1" applyFont="1" applyFill="1" applyBorder="1" applyAlignment="1">
      <alignment horizontal="center" vertical="center" wrapText="1"/>
    </xf>
    <xf numFmtId="167" fontId="8" fillId="4" borderId="21" xfId="0" applyNumberFormat="1" applyFont="1" applyFill="1" applyBorder="1" applyAlignment="1">
      <alignment horizontal="center" vertical="center" wrapText="1"/>
    </xf>
    <xf numFmtId="167" fontId="8" fillId="4" borderId="24" xfId="0" applyNumberFormat="1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vertical="center" wrapText="1"/>
    </xf>
    <xf numFmtId="0" fontId="11" fillId="4" borderId="36" xfId="0" applyFont="1" applyFill="1" applyBorder="1" applyAlignment="1">
      <alignment vertical="center" wrapText="1"/>
    </xf>
    <xf numFmtId="0" fontId="11" fillId="4" borderId="37" xfId="0" applyFont="1" applyFill="1" applyBorder="1" applyAlignment="1">
      <alignment vertical="center" wrapText="1"/>
    </xf>
    <xf numFmtId="0" fontId="8" fillId="4" borderId="36" xfId="0" applyFont="1" applyFill="1" applyBorder="1" applyAlignment="1">
      <alignment horizontal="right" vertical="center"/>
    </xf>
    <xf numFmtId="0" fontId="8" fillId="4" borderId="38" xfId="0" applyFont="1" applyFill="1" applyBorder="1" applyAlignment="1">
      <alignment horizontal="right" vertical="center"/>
    </xf>
    <xf numFmtId="0" fontId="11" fillId="4" borderId="19" xfId="0" applyFont="1" applyFill="1" applyBorder="1"/>
    <xf numFmtId="0" fontId="11" fillId="4" borderId="0" xfId="0" applyFont="1" applyFill="1"/>
    <xf numFmtId="0" fontId="11" fillId="4" borderId="2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 wrapText="1"/>
    </xf>
    <xf numFmtId="167" fontId="8" fillId="4" borderId="33" xfId="0" applyNumberFormat="1" applyFont="1" applyFill="1" applyBorder="1" applyAlignment="1">
      <alignment horizontal="center" vertical="center" wrapText="1"/>
    </xf>
    <xf numFmtId="167" fontId="8" fillId="4" borderId="34" xfId="0" applyNumberFormat="1" applyFont="1" applyFill="1" applyBorder="1" applyAlignment="1">
      <alignment horizontal="center" vertical="center" wrapText="1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2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3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7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4" xfId="0" applyNumberFormat="1" applyFont="1" applyFill="1" applyBorder="1" applyAlignment="1" applyProtection="1">
      <alignment horizontal="center" vertical="center" wrapText="1"/>
      <protection locked="0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164" fontId="10" fillId="4" borderId="12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/>
    </xf>
    <xf numFmtId="164" fontId="10" fillId="4" borderId="7" xfId="0" applyNumberFormat="1" applyFont="1" applyFill="1" applyBorder="1" applyAlignment="1">
      <alignment horizontal="center" vertical="center"/>
    </xf>
    <xf numFmtId="164" fontId="10" fillId="4" borderId="22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8" fillId="4" borderId="8" xfId="0" applyFont="1" applyFill="1" applyBorder="1" applyAlignment="1">
      <alignment horizontal="right" wrapText="1"/>
    </xf>
    <xf numFmtId="0" fontId="8" fillId="4" borderId="18" xfId="0" applyFont="1" applyFill="1" applyBorder="1" applyAlignment="1">
      <alignment horizontal="right" wrapText="1"/>
    </xf>
    <xf numFmtId="0" fontId="8" fillId="4" borderId="39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40" xfId="0" applyFont="1" applyFill="1" applyBorder="1" applyAlignment="1">
      <alignment vertical="center" wrapText="1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3" xfId="0" applyFont="1" applyFill="1" applyBorder="1" applyAlignment="1" applyProtection="1">
      <alignment horizontal="left" vertical="top" wrapText="1"/>
      <protection locked="0"/>
    </xf>
    <xf numFmtId="0" fontId="8" fillId="4" borderId="19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1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 applyProtection="1">
      <alignment horizontal="center" vertical="center" wrapText="1"/>
      <protection locked="0"/>
    </xf>
    <xf numFmtId="0" fontId="11" fillId="4" borderId="13" xfId="0" applyFont="1" applyFill="1" applyBorder="1" applyAlignment="1" applyProtection="1">
      <alignment horizontal="center" vertical="center" wrapText="1"/>
      <protection locked="0"/>
    </xf>
    <xf numFmtId="164" fontId="9" fillId="4" borderId="12" xfId="0" applyNumberFormat="1" applyFont="1" applyFill="1" applyBorder="1"/>
    <xf numFmtId="164" fontId="9" fillId="4" borderId="0" xfId="0" applyNumberFormat="1" applyFont="1" applyFill="1"/>
    <xf numFmtId="164" fontId="9" fillId="4" borderId="20" xfId="0" applyNumberFormat="1" applyFont="1" applyFill="1" applyBorder="1"/>
    <xf numFmtId="0" fontId="11" fillId="4" borderId="19" xfId="0" applyFont="1" applyFill="1" applyBorder="1" applyProtection="1">
      <protection locked="0"/>
    </xf>
    <xf numFmtId="0" fontId="11" fillId="4" borderId="13" xfId="0" applyFont="1" applyFill="1" applyBorder="1" applyProtection="1">
      <protection locked="0"/>
    </xf>
    <xf numFmtId="164" fontId="9" fillId="4" borderId="21" xfId="0" applyNumberFormat="1" applyFont="1" applyFill="1" applyBorder="1"/>
    <xf numFmtId="164" fontId="9" fillId="4" borderId="7" xfId="0" applyNumberFormat="1" applyFont="1" applyFill="1" applyBorder="1"/>
    <xf numFmtId="164" fontId="9" fillId="4" borderId="22" xfId="0" applyNumberFormat="1" applyFont="1" applyFill="1" applyBorder="1"/>
    <xf numFmtId="0" fontId="11" fillId="4" borderId="17" xfId="0" applyFont="1" applyFill="1" applyBorder="1"/>
    <xf numFmtId="0" fontId="11" fillId="4" borderId="8" xfId="0" applyFont="1" applyFill="1" applyBorder="1"/>
    <xf numFmtId="9" fontId="8" fillId="4" borderId="8" xfId="1" applyFont="1" applyFill="1" applyBorder="1" applyAlignment="1" applyProtection="1">
      <alignment horizontal="right" vertical="center" wrapText="1"/>
    </xf>
    <xf numFmtId="9" fontId="8" fillId="4" borderId="0" xfId="1" applyFont="1" applyFill="1" applyBorder="1" applyAlignment="1" applyProtection="1">
      <alignment horizontal="right" vertical="center" wrapText="1"/>
    </xf>
    <xf numFmtId="166" fontId="8" fillId="4" borderId="11" xfId="1" applyNumberFormat="1" applyFont="1" applyFill="1" applyBorder="1" applyAlignment="1">
      <alignment horizontal="right" vertical="center" wrapText="1"/>
    </xf>
    <xf numFmtId="166" fontId="8" fillId="4" borderId="13" xfId="1" applyNumberFormat="1" applyFont="1" applyFill="1" applyBorder="1" applyAlignment="1">
      <alignment horizontal="right" vertical="center" wrapText="1"/>
    </xf>
    <xf numFmtId="164" fontId="9" fillId="4" borderId="10" xfId="0" applyNumberFormat="1" applyFont="1" applyFill="1" applyBorder="1" applyAlignment="1">
      <alignment horizontal="center" vertical="center"/>
    </xf>
    <xf numFmtId="164" fontId="9" fillId="4" borderId="8" xfId="0" applyNumberFormat="1" applyFont="1" applyFill="1" applyBorder="1" applyAlignment="1">
      <alignment horizontal="center" vertical="center"/>
    </xf>
    <xf numFmtId="164" fontId="9" fillId="4" borderId="18" xfId="0" applyNumberFormat="1" applyFont="1" applyFill="1" applyBorder="1" applyAlignment="1">
      <alignment horizontal="center" vertical="center"/>
    </xf>
    <xf numFmtId="164" fontId="9" fillId="4" borderId="12" xfId="0" applyNumberFormat="1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9" fillId="4" borderId="20" xfId="0" applyNumberFormat="1" applyFont="1" applyFill="1" applyBorder="1" applyAlignment="1">
      <alignment horizontal="center" vertical="center"/>
    </xf>
    <xf numFmtId="9" fontId="11" fillId="4" borderId="29" xfId="1" applyFont="1" applyFill="1" applyBorder="1" applyAlignment="1" applyProtection="1">
      <alignment horizontal="center" vertical="center"/>
      <protection locked="0"/>
    </xf>
    <xf numFmtId="9" fontId="11" fillId="4" borderId="31" xfId="1" applyFont="1" applyFill="1" applyBorder="1" applyAlignment="1" applyProtection="1">
      <alignment horizontal="center" vertical="center"/>
      <protection locked="0"/>
    </xf>
    <xf numFmtId="9" fontId="8" fillId="4" borderId="27" xfId="1" applyFont="1" applyFill="1" applyBorder="1" applyAlignment="1" applyProtection="1">
      <alignment horizontal="center" vertical="center"/>
      <protection locked="0"/>
    </xf>
    <xf numFmtId="9" fontId="8" fillId="4" borderId="9" xfId="1" applyFont="1" applyFill="1" applyBorder="1" applyAlignment="1" applyProtection="1">
      <alignment horizontal="center" vertical="center"/>
      <protection locked="0"/>
    </xf>
    <xf numFmtId="9" fontId="8" fillId="4" borderId="26" xfId="1" applyFont="1" applyFill="1" applyBorder="1" applyAlignment="1" applyProtection="1">
      <alignment horizontal="center" vertical="center"/>
      <protection locked="0"/>
    </xf>
    <xf numFmtId="9" fontId="11" fillId="4" borderId="10" xfId="1" applyFont="1" applyFill="1" applyBorder="1" applyAlignment="1" applyProtection="1">
      <alignment horizontal="center" vertical="center" wrapText="1"/>
      <protection locked="0"/>
    </xf>
    <xf numFmtId="9" fontId="11" fillId="4" borderId="11" xfId="1" applyFont="1" applyFill="1" applyBorder="1" applyAlignment="1" applyProtection="1">
      <alignment horizontal="center" vertical="center" wrapText="1"/>
      <protection locked="0"/>
    </xf>
    <xf numFmtId="9" fontId="11" fillId="4" borderId="21" xfId="1" applyFont="1" applyFill="1" applyBorder="1" applyAlignment="1" applyProtection="1">
      <alignment horizontal="center" vertical="center" wrapText="1"/>
      <protection locked="0"/>
    </xf>
    <xf numFmtId="9" fontId="11" fillId="4" borderId="24" xfId="1" applyFont="1" applyFill="1" applyBorder="1" applyAlignment="1" applyProtection="1">
      <alignment horizontal="center" vertical="center" wrapText="1"/>
      <protection locked="0"/>
    </xf>
    <xf numFmtId="0" fontId="11" fillId="4" borderId="19" xfId="0" applyFont="1" applyFill="1" applyBorder="1" applyAlignment="1" applyProtection="1">
      <alignment vertical="center" wrapText="1"/>
      <protection locked="0"/>
    </xf>
    <xf numFmtId="0" fontId="11" fillId="4" borderId="13" xfId="0" applyFont="1" applyFill="1" applyBorder="1" applyAlignment="1" applyProtection="1">
      <alignment vertical="center" wrapText="1"/>
      <protection locked="0"/>
    </xf>
    <xf numFmtId="0" fontId="9" fillId="4" borderId="19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9" fontId="9" fillId="4" borderId="12" xfId="1" applyFont="1" applyFill="1" applyBorder="1" applyAlignment="1"/>
    <xf numFmtId="9" fontId="9" fillId="4" borderId="13" xfId="1" applyFont="1" applyFill="1" applyBorder="1" applyAlignment="1"/>
    <xf numFmtId="0" fontId="9" fillId="4" borderId="19" xfId="0" applyFont="1" applyFill="1" applyBorder="1" applyAlignment="1" applyProtection="1">
      <alignment vertical="top" wrapText="1"/>
      <protection locked="0"/>
    </xf>
    <xf numFmtId="0" fontId="9" fillId="4" borderId="13" xfId="0" applyFont="1" applyFill="1" applyBorder="1" applyAlignment="1" applyProtection="1">
      <alignment vertical="top" wrapText="1"/>
      <protection locked="0"/>
    </xf>
    <xf numFmtId="9" fontId="9" fillId="4" borderId="12" xfId="1" applyFont="1" applyFill="1" applyBorder="1" applyAlignment="1">
      <alignment vertical="top" wrapText="1"/>
    </xf>
    <xf numFmtId="9" fontId="9" fillId="4" borderId="13" xfId="1" applyFont="1" applyFill="1" applyBorder="1" applyAlignment="1">
      <alignment vertical="top" wrapText="1"/>
    </xf>
    <xf numFmtId="0" fontId="9" fillId="4" borderId="17" xfId="0" applyFont="1" applyFill="1" applyBorder="1" applyAlignment="1" applyProtection="1">
      <alignment vertical="top"/>
      <protection locked="0"/>
    </xf>
    <xf numFmtId="0" fontId="9" fillId="4" borderId="11" xfId="0" applyFont="1" applyFill="1" applyBorder="1" applyAlignment="1" applyProtection="1">
      <alignment vertical="top"/>
      <protection locked="0"/>
    </xf>
    <xf numFmtId="164" fontId="9" fillId="4" borderId="10" xfId="0" applyNumberFormat="1" applyFont="1" applyFill="1" applyBorder="1" applyAlignment="1">
      <alignment vertical="top"/>
    </xf>
    <xf numFmtId="164" fontId="9" fillId="4" borderId="8" xfId="0" applyNumberFormat="1" applyFont="1" applyFill="1" applyBorder="1" applyAlignment="1">
      <alignment vertical="top"/>
    </xf>
    <xf numFmtId="164" fontId="9" fillId="4" borderId="18" xfId="0" applyNumberFormat="1" applyFont="1" applyFill="1" applyBorder="1" applyAlignment="1">
      <alignment vertical="top"/>
    </xf>
    <xf numFmtId="0" fontId="9" fillId="4" borderId="19" xfId="0" applyFont="1" applyFill="1" applyBorder="1" applyAlignment="1" applyProtection="1">
      <alignment vertical="top"/>
      <protection locked="0"/>
    </xf>
    <xf numFmtId="0" fontId="9" fillId="4" borderId="13" xfId="0" applyFont="1" applyFill="1" applyBorder="1" applyAlignment="1" applyProtection="1">
      <alignment vertical="top"/>
      <protection locked="0"/>
    </xf>
    <xf numFmtId="164" fontId="9" fillId="4" borderId="12" xfId="0" applyNumberFormat="1" applyFont="1" applyFill="1" applyBorder="1" applyAlignment="1">
      <alignment vertical="top"/>
    </xf>
    <xf numFmtId="164" fontId="9" fillId="4" borderId="0" xfId="0" applyNumberFormat="1" applyFont="1" applyFill="1" applyAlignment="1">
      <alignment vertical="top"/>
    </xf>
    <xf numFmtId="164" fontId="9" fillId="4" borderId="20" xfId="0" applyNumberFormat="1" applyFont="1" applyFill="1" applyBorder="1" applyAlignment="1">
      <alignment vertical="top"/>
    </xf>
    <xf numFmtId="9" fontId="9" fillId="4" borderId="10" xfId="1" applyFont="1" applyFill="1" applyBorder="1" applyAlignment="1">
      <alignment vertical="top"/>
    </xf>
    <xf numFmtId="9" fontId="9" fillId="4" borderId="11" xfId="1" applyFont="1" applyFill="1" applyBorder="1" applyAlignment="1">
      <alignment vertical="top"/>
    </xf>
    <xf numFmtId="9" fontId="9" fillId="4" borderId="12" xfId="1" applyFont="1" applyFill="1" applyBorder="1" applyAlignment="1">
      <alignment vertical="top"/>
    </xf>
    <xf numFmtId="9" fontId="9" fillId="4" borderId="13" xfId="1" applyFont="1" applyFill="1" applyBorder="1" applyAlignment="1">
      <alignment vertical="top"/>
    </xf>
    <xf numFmtId="0" fontId="11" fillId="4" borderId="0" xfId="0" applyFont="1" applyFill="1" applyAlignment="1">
      <alignment vertical="center"/>
    </xf>
    <xf numFmtId="0" fontId="11" fillId="4" borderId="20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22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9" fillId="4" borderId="0" xfId="0" applyFont="1" applyFill="1"/>
    <xf numFmtId="0" fontId="9" fillId="4" borderId="13" xfId="0" applyFont="1" applyFill="1" applyBorder="1"/>
    <xf numFmtId="0" fontId="11" fillId="4" borderId="24" xfId="0" applyFont="1" applyFill="1" applyBorder="1" applyAlignment="1">
      <alignment vertical="center"/>
    </xf>
    <xf numFmtId="0" fontId="8" fillId="4" borderId="27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9" fillId="4" borderId="8" xfId="0" applyFont="1" applyFill="1" applyBorder="1" applyProtection="1">
      <protection locked="0"/>
    </xf>
    <xf numFmtId="0" fontId="9" fillId="4" borderId="18" xfId="0" applyFont="1" applyFill="1" applyBorder="1" applyProtection="1">
      <protection locked="0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11" fillId="4" borderId="19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vertical="center"/>
    </xf>
    <xf numFmtId="0" fontId="12" fillId="4" borderId="10" xfId="0" applyFont="1" applyFill="1" applyBorder="1" applyProtection="1">
      <protection locked="0"/>
    </xf>
    <xf numFmtId="0" fontId="12" fillId="4" borderId="8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9" fillId="4" borderId="19" xfId="0" applyFont="1" applyFill="1" applyBorder="1"/>
    <xf numFmtId="0" fontId="8" fillId="4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169" fontId="8" fillId="4" borderId="8" xfId="0" applyNumberFormat="1" applyFont="1" applyFill="1" applyBorder="1" applyAlignment="1" applyProtection="1">
      <alignment horizontal="center" vertical="center"/>
      <protection locked="0"/>
    </xf>
    <xf numFmtId="1" fontId="10" fillId="4" borderId="0" xfId="0" applyNumberFormat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11"/>
    </tableStyle>
    <tableStyle name="Table Style 2" pivot="0" count="1" xr9:uid="{7AD88003-82B4-4AB7-BB2E-C2880995DF78}">
      <tableStyleElement type="headerRow" dxfId="10"/>
    </tableStyle>
    <tableStyle name="Table Style 3" pivot="0" count="2" xr9:uid="{E99E59D0-5D5F-4C9F-A05E-577E4ED7A96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A87BD-2473-4DD7-B69D-87DD004E2891}" name="ServiceTable" displayName="ServiceTable" ref="A2:F61" totalsRowShown="0" headerRowDxfId="7" dataDxfId="6">
  <autoFilter ref="A2:F61" xr:uid="{8DDA87BD-2473-4DD7-B69D-87DD004E2891}"/>
  <tableColumns count="6">
    <tableColumn id="2" xr3:uid="{5DFCDB0B-757C-473F-9580-F81F9815AC16}" name="Department" dataDxfId="5"/>
    <tableColumn id="3" xr3:uid="{7481857C-B33E-487C-BDF5-9722225F4906}" name="Consultant" dataDxfId="4"/>
    <tableColumn id="4" xr3:uid="{7D7284B1-BA7B-4FE3-9A3F-1189976D6DB5}" name="Service" dataDxfId="3"/>
    <tableColumn id="1" xr3:uid="{BB8DB25E-9A4A-4C6B-BB14-348DB5DDFFBF}" name="HSN/SAC Codes" dataDxfId="2"/>
    <tableColumn id="5" xr3:uid="{914A0D1B-559C-4745-A606-E00DC96276DC}" name="Cost" dataDxfId="1"/>
    <tableColumn id="6" xr3:uid="{EE7302E2-3CF1-481B-B285-A993997FD6DE}" name="GST" dataDxfId="0" dataCellStyle="Percent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Q69"/>
  <sheetViews>
    <sheetView zoomScale="55" zoomScaleNormal="110" workbookViewId="0">
      <selection activeCell="Q15" sqref="Q15"/>
    </sheetView>
  </sheetViews>
  <sheetFormatPr defaultRowHeight="17.100000000000001" customHeight="1" x14ac:dyDescent="0.4"/>
  <cols>
    <col min="1" max="1" width="3.33203125" style="44" customWidth="1"/>
    <col min="2" max="2" width="18" style="44" customWidth="1"/>
    <col min="3" max="3" width="68.21875" style="44" customWidth="1"/>
    <col min="4" max="4" width="36.109375" style="132" customWidth="1"/>
    <col min="5" max="5" width="19.5546875" style="44" customWidth="1"/>
    <col min="6" max="6" width="13.33203125" style="44" customWidth="1"/>
    <col min="7" max="7" width="10" style="44" customWidth="1"/>
    <col min="8" max="8" width="21.77734375" style="44" customWidth="1"/>
    <col min="9" max="9" width="5.88671875" style="44" customWidth="1"/>
    <col min="10" max="10" width="8.44140625" style="44" customWidth="1"/>
    <col min="11" max="11" width="8.6640625" style="44" customWidth="1"/>
    <col min="12" max="12" width="1.77734375" style="44" customWidth="1"/>
    <col min="13" max="13" width="8.109375" style="44" customWidth="1"/>
    <col min="14" max="14" width="1.77734375" style="44" customWidth="1"/>
    <col min="15" max="15" width="8.33203125" style="44" customWidth="1"/>
    <col min="16" max="16" width="2.88671875" style="44" customWidth="1"/>
    <col min="17" max="17" width="8" style="44" customWidth="1"/>
    <col min="18" max="18" width="3.33203125" style="44" customWidth="1"/>
    <col min="19" max="16384" width="8.88671875" style="44"/>
  </cols>
  <sheetData>
    <row r="13" spans="2:17" ht="17.100000000000001" customHeight="1" thickBot="1" x14ac:dyDescent="0.45"/>
    <row r="14" spans="2:17" ht="40.049999999999997" customHeight="1" x14ac:dyDescent="0.4">
      <c r="B14" s="281" t="s">
        <v>85</v>
      </c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3"/>
    </row>
    <row r="15" spans="2:17" ht="22.2" customHeight="1" x14ac:dyDescent="0.4">
      <c r="B15" s="35" t="s">
        <v>86</v>
      </c>
      <c r="C15" s="36"/>
      <c r="D15" s="128" t="s">
        <v>87</v>
      </c>
      <c r="E15" s="37"/>
      <c r="F15" s="37"/>
      <c r="G15" s="38"/>
      <c r="H15" s="39" t="s">
        <v>115</v>
      </c>
      <c r="I15" s="40" t="s">
        <v>116</v>
      </c>
      <c r="J15" s="296" t="s">
        <v>158</v>
      </c>
      <c r="K15" s="296"/>
      <c r="L15" s="82" t="s">
        <v>88</v>
      </c>
      <c r="M15" s="82">
        <v>1234</v>
      </c>
      <c r="N15" s="40" t="s">
        <v>88</v>
      </c>
      <c r="O15" s="303">
        <v>426</v>
      </c>
      <c r="P15" s="143" t="s">
        <v>153</v>
      </c>
      <c r="Q15" s="144">
        <v>0</v>
      </c>
    </row>
    <row r="16" spans="2:17" ht="22.2" customHeight="1" x14ac:dyDescent="0.4">
      <c r="B16" s="284" t="s">
        <v>89</v>
      </c>
      <c r="C16" s="285"/>
      <c r="D16" s="286"/>
      <c r="E16" s="287"/>
      <c r="F16" s="287"/>
      <c r="G16" s="244"/>
      <c r="H16" s="42" t="s">
        <v>117</v>
      </c>
      <c r="I16" s="86" t="s">
        <v>116</v>
      </c>
      <c r="J16" s="86"/>
      <c r="K16" s="87"/>
      <c r="L16" s="88" t="s">
        <v>88</v>
      </c>
      <c r="M16" s="89"/>
      <c r="N16" s="86" t="s">
        <v>88</v>
      </c>
      <c r="O16" s="304"/>
      <c r="P16" s="86"/>
      <c r="Q16" s="45"/>
    </row>
    <row r="17" spans="2:17" ht="22.2" customHeight="1" x14ac:dyDescent="0.4">
      <c r="B17" s="288" t="s">
        <v>90</v>
      </c>
      <c r="C17" s="289"/>
      <c r="D17" s="286"/>
      <c r="E17" s="287"/>
      <c r="F17" s="287"/>
      <c r="G17" s="244"/>
      <c r="Q17" s="45"/>
    </row>
    <row r="18" spans="2:17" ht="22.2" customHeight="1" x14ac:dyDescent="0.4">
      <c r="B18" s="43" t="s">
        <v>91</v>
      </c>
      <c r="C18" s="90"/>
      <c r="D18" s="133"/>
      <c r="E18" s="85"/>
      <c r="F18" s="85"/>
      <c r="G18" s="41"/>
      <c r="H18" s="46"/>
      <c r="I18" s="47"/>
      <c r="J18" s="47"/>
      <c r="K18" s="47"/>
      <c r="L18" s="47"/>
      <c r="M18" s="47"/>
      <c r="N18" s="47"/>
      <c r="O18" s="47"/>
      <c r="P18" s="47"/>
      <c r="Q18" s="48"/>
    </row>
    <row r="19" spans="2:17" ht="22.2" customHeight="1" x14ac:dyDescent="0.4">
      <c r="B19" s="43" t="s">
        <v>93</v>
      </c>
      <c r="C19" s="90"/>
      <c r="D19" s="286"/>
      <c r="E19" s="287"/>
      <c r="F19" s="287"/>
      <c r="G19" s="244"/>
      <c r="H19" s="49" t="s">
        <v>92</v>
      </c>
      <c r="I19" s="91"/>
      <c r="J19" s="91"/>
      <c r="Q19" s="45"/>
    </row>
    <row r="20" spans="2:17" ht="22.2" customHeight="1" x14ac:dyDescent="0.4">
      <c r="B20" s="43" t="s">
        <v>96</v>
      </c>
      <c r="C20" s="90"/>
      <c r="D20" s="292" t="s">
        <v>94</v>
      </c>
      <c r="E20" s="293"/>
      <c r="F20" s="293"/>
      <c r="G20" s="294"/>
      <c r="H20" s="92" t="s">
        <v>128</v>
      </c>
      <c r="I20" s="86" t="s">
        <v>116</v>
      </c>
      <c r="J20" s="86"/>
      <c r="K20" s="92" t="s">
        <v>95</v>
      </c>
      <c r="L20" s="92"/>
      <c r="M20" s="92"/>
      <c r="N20" s="92"/>
      <c r="O20" s="92"/>
      <c r="P20" s="92"/>
      <c r="Q20" s="45"/>
    </row>
    <row r="21" spans="2:17" ht="22.2" customHeight="1" x14ac:dyDescent="0.4">
      <c r="B21" s="295" t="s">
        <v>98</v>
      </c>
      <c r="C21" s="275"/>
      <c r="D21" s="129" t="s">
        <v>118</v>
      </c>
      <c r="E21" s="289" t="s">
        <v>119</v>
      </c>
      <c r="F21" s="289"/>
      <c r="G21" s="290"/>
      <c r="H21" s="92" t="s">
        <v>129</v>
      </c>
      <c r="I21" s="86" t="s">
        <v>116</v>
      </c>
      <c r="J21" s="86"/>
      <c r="K21" s="92" t="s">
        <v>97</v>
      </c>
      <c r="L21" s="92"/>
      <c r="M21" s="92"/>
      <c r="N21" s="92"/>
      <c r="O21" s="92"/>
      <c r="P21" s="92"/>
      <c r="Q21" s="45"/>
    </row>
    <row r="22" spans="2:17" ht="22.2" customHeight="1" x14ac:dyDescent="0.4">
      <c r="B22" s="50"/>
      <c r="D22" s="129" t="s">
        <v>120</v>
      </c>
      <c r="E22" s="265" t="s">
        <v>121</v>
      </c>
      <c r="F22" s="265"/>
      <c r="G22" s="291"/>
      <c r="H22" s="47"/>
      <c r="I22" s="47"/>
      <c r="J22" s="47"/>
      <c r="K22" s="47"/>
      <c r="L22" s="47"/>
      <c r="M22" s="47"/>
      <c r="N22" s="47"/>
      <c r="O22" s="47"/>
      <c r="P22" s="47"/>
      <c r="Q22" s="48"/>
    </row>
    <row r="23" spans="2:17" ht="22.2" customHeight="1" x14ac:dyDescent="0.4">
      <c r="B23" s="50"/>
      <c r="D23" s="130" t="s">
        <v>122</v>
      </c>
      <c r="E23" s="274" t="s">
        <v>123</v>
      </c>
      <c r="F23" s="274"/>
      <c r="G23" s="275"/>
      <c r="H23" s="51" t="s">
        <v>130</v>
      </c>
      <c r="I23" s="52" t="s">
        <v>116</v>
      </c>
      <c r="J23" s="52"/>
      <c r="K23" s="279"/>
      <c r="L23" s="279"/>
      <c r="M23" s="279"/>
      <c r="N23" s="279"/>
      <c r="O23" s="279"/>
      <c r="P23" s="279"/>
      <c r="Q23" s="280"/>
    </row>
    <row r="24" spans="2:17" ht="22.2" customHeight="1" x14ac:dyDescent="0.4">
      <c r="B24" s="50"/>
      <c r="D24" s="130" t="s">
        <v>124</v>
      </c>
      <c r="E24" s="274" t="s">
        <v>125</v>
      </c>
      <c r="F24" s="274"/>
      <c r="G24" s="275"/>
      <c r="H24" s="92"/>
      <c r="I24" s="92"/>
      <c r="J24" s="92"/>
      <c r="K24" s="265"/>
      <c r="L24" s="265"/>
      <c r="M24" s="265"/>
      <c r="N24" s="265"/>
      <c r="O24" s="265"/>
      <c r="P24" s="265"/>
      <c r="Q24" s="266"/>
    </row>
    <row r="25" spans="2:17" ht="22.2" customHeight="1" x14ac:dyDescent="0.4">
      <c r="B25" s="53"/>
      <c r="C25" s="54" t="s">
        <v>99</v>
      </c>
      <c r="D25" s="131" t="s">
        <v>126</v>
      </c>
      <c r="E25" s="267" t="s">
        <v>127</v>
      </c>
      <c r="F25" s="267"/>
      <c r="G25" s="276"/>
      <c r="H25" s="47"/>
      <c r="I25" s="47"/>
      <c r="J25" s="47"/>
      <c r="K25" s="267"/>
      <c r="L25" s="267"/>
      <c r="M25" s="267"/>
      <c r="N25" s="267"/>
      <c r="O25" s="267"/>
      <c r="P25" s="267"/>
      <c r="Q25" s="268"/>
    </row>
    <row r="26" spans="2:17" ht="17.100000000000001" customHeight="1" x14ac:dyDescent="0.4">
      <c r="B26" s="53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2"/>
    </row>
    <row r="27" spans="2:17" ht="50.4" customHeight="1" x14ac:dyDescent="0.4">
      <c r="B27" s="269" t="s">
        <v>100</v>
      </c>
      <c r="C27" s="270"/>
      <c r="D27" s="55" t="s">
        <v>15</v>
      </c>
      <c r="E27" s="56" t="s">
        <v>101</v>
      </c>
      <c r="F27" s="57" t="s">
        <v>102</v>
      </c>
      <c r="G27" s="58" t="s">
        <v>103</v>
      </c>
      <c r="H27" s="59" t="s">
        <v>104</v>
      </c>
      <c r="I27" s="277" t="s">
        <v>105</v>
      </c>
      <c r="J27" s="278"/>
      <c r="K27" s="271" t="s">
        <v>106</v>
      </c>
      <c r="L27" s="272"/>
      <c r="M27" s="272"/>
      <c r="N27" s="272"/>
      <c r="O27" s="272"/>
      <c r="P27" s="272"/>
      <c r="Q27" s="273"/>
    </row>
    <row r="28" spans="2:17" ht="22.2" customHeight="1" x14ac:dyDescent="0.4">
      <c r="B28" s="251"/>
      <c r="C28" s="252"/>
      <c r="D28" s="134"/>
      <c r="E28" s="101" t="str">
        <f>IFERROR(VLOOKUP(B28,ServiceTable[[Service]:[GST]],2,FALSE),"")</f>
        <v/>
      </c>
      <c r="F28" s="60"/>
      <c r="G28" s="61"/>
      <c r="H28" s="62" t="str">
        <f>IFERROR(((VLOOKUP(B28,ServiceTable[[Service]:[GST]],3,FALSE)))-((VLOOKUP(B28,ServiceTable[[Service]:[GST]],3,FALSE))*G28),"")</f>
        <v/>
      </c>
      <c r="I28" s="261" t="str">
        <f>IFERROR(VLOOKUP(B28,ServiceTable[[Service]:[GST]],4,FALSE),"")</f>
        <v/>
      </c>
      <c r="J28" s="262"/>
      <c r="K28" s="253" t="str">
        <f>IFERROR(((VLOOKUP(B28,ServiceTable[[Service]:[GST]],3,FALSE))*F28)-((VLOOKUP(B28,ServiceTable[[Service]:[GST]],3,FALSE))*F28*G28),"")</f>
        <v/>
      </c>
      <c r="L28" s="254"/>
      <c r="M28" s="254"/>
      <c r="N28" s="254"/>
      <c r="O28" s="254"/>
      <c r="P28" s="254"/>
      <c r="Q28" s="255"/>
    </row>
    <row r="29" spans="2:17" ht="22.2" customHeight="1" x14ac:dyDescent="0.4">
      <c r="B29" s="256"/>
      <c r="C29" s="257"/>
      <c r="D29" s="134"/>
      <c r="E29" s="102" t="str">
        <f>IFERROR(VLOOKUP(B29,ServiceTable[[Service]:[GST]],2,FALSE),"")</f>
        <v/>
      </c>
      <c r="F29" s="63"/>
      <c r="G29" s="64"/>
      <c r="H29" s="65" t="str">
        <f>IFERROR(((VLOOKUP(B29,ServiceTable[[Service]:[GST]],3,FALSE)))-((VLOOKUP(B29,ServiceTable[[Service]:[GST]],3,FALSE))*G29),"")</f>
        <v/>
      </c>
      <c r="I29" s="263" t="str">
        <f>IFERROR(VLOOKUP(B29,ServiceTable[[Service]:[GST]],4,FALSE),"")</f>
        <v/>
      </c>
      <c r="J29" s="264"/>
      <c r="K29" s="258" t="str">
        <f>IFERROR(((VLOOKUP(B29,ServiceTable[[Service]:[GST]],3,FALSE))*F29)-((VLOOKUP(B29,ServiceTable[[Service]:[GST]],3,FALSE))*F29*G29),"")</f>
        <v/>
      </c>
      <c r="L29" s="259"/>
      <c r="M29" s="259"/>
      <c r="N29" s="259"/>
      <c r="O29" s="259"/>
      <c r="P29" s="259"/>
      <c r="Q29" s="260"/>
    </row>
    <row r="30" spans="2:17" ht="22.2" customHeight="1" x14ac:dyDescent="0.4">
      <c r="B30" s="247"/>
      <c r="C30" s="248"/>
      <c r="D30" s="134"/>
      <c r="E30" s="103" t="str">
        <f>IFERROR(VLOOKUP(B30,ServiceTable[[Service]:[GST]],2,FALSE),"")</f>
        <v/>
      </c>
      <c r="F30" s="66"/>
      <c r="G30" s="67"/>
      <c r="H30" s="68" t="str">
        <f>IFERROR(((VLOOKUP(B30,ServiceTable[[Service]:[GST]],3,FALSE)))-((VLOOKUP(B30,ServiceTable[[Service]:[GST]],3,FALSE))*G30),"")</f>
        <v/>
      </c>
      <c r="I30" s="249" t="str">
        <f>IFERROR(VLOOKUP(B30,ServiceTable[[Service]:[GST]],4,FALSE),"")</f>
        <v/>
      </c>
      <c r="J30" s="250"/>
      <c r="K30" s="212" t="str">
        <f>IFERROR(((VLOOKUP(B30,ServiceTable[[Service]:[GST]],3,FALSE))*F30)-((VLOOKUP(B30,ServiceTable[[Service]:[GST]],3,FALSE))*F30*G30),"")</f>
        <v/>
      </c>
      <c r="L30" s="213"/>
      <c r="M30" s="213"/>
      <c r="N30" s="213"/>
      <c r="O30" s="213"/>
      <c r="P30" s="213"/>
      <c r="Q30" s="214"/>
    </row>
    <row r="31" spans="2:17" ht="22.2" customHeight="1" x14ac:dyDescent="0.4">
      <c r="B31" s="247"/>
      <c r="C31" s="248"/>
      <c r="D31" s="134"/>
      <c r="E31" s="103" t="str">
        <f>IFERROR(VLOOKUP(B31,ServiceTable[[Service]:[GST]],2,FALSE),"")</f>
        <v/>
      </c>
      <c r="F31" s="66"/>
      <c r="G31" s="67"/>
      <c r="H31" s="68" t="str">
        <f>IFERROR(((VLOOKUP(B31,ServiceTable[[Service]:[GST]],3,FALSE)))-((VLOOKUP(B31,ServiceTable[[Service]:[GST]],3,FALSE))*G31),"")</f>
        <v/>
      </c>
      <c r="I31" s="249" t="str">
        <f>IFERROR(VLOOKUP(B31,ServiceTable[[Service]:[GST]],4,FALSE),"")</f>
        <v/>
      </c>
      <c r="J31" s="250"/>
      <c r="K31" s="212" t="str">
        <f>IFERROR(((VLOOKUP(B31,ServiceTable[[Service]:[GST]],3,FALSE))*F31)-((VLOOKUP(B31,ServiceTable[[Service]:[GST]],3,FALSE))*F31*G31),"")</f>
        <v/>
      </c>
      <c r="L31" s="213"/>
      <c r="M31" s="213"/>
      <c r="N31" s="213"/>
      <c r="O31" s="213"/>
      <c r="P31" s="213"/>
      <c r="Q31" s="214"/>
    </row>
    <row r="32" spans="2:17" ht="22.2" customHeight="1" x14ac:dyDescent="0.4">
      <c r="B32" s="247"/>
      <c r="C32" s="248"/>
      <c r="D32" s="134"/>
      <c r="E32" s="103" t="str">
        <f>IFERROR(VLOOKUP(B32,ServiceTable[[Service]:[GST]],2,FALSE),"")</f>
        <v/>
      </c>
      <c r="F32" s="66"/>
      <c r="G32" s="67"/>
      <c r="H32" s="68" t="str">
        <f>IFERROR(((VLOOKUP(B32,ServiceTable[[Service]:[GST]],3,FALSE)))-((VLOOKUP(B32,ServiceTable[[Service]:[GST]],3,FALSE))*G32),"")</f>
        <v/>
      </c>
      <c r="I32" s="249" t="str">
        <f>IFERROR(VLOOKUP(B32,ServiceTable[[Service]:[GST]],4,FALSE),"")</f>
        <v/>
      </c>
      <c r="J32" s="250"/>
      <c r="K32" s="212" t="str">
        <f>IFERROR(((VLOOKUP(B32,ServiceTable[[Service]:[GST]],3,FALSE))*F32)-((VLOOKUP(B32,ServiceTable[[Service]:[GST]],3,FALSE))*F32*G32),"")</f>
        <v/>
      </c>
      <c r="L32" s="213"/>
      <c r="M32" s="213"/>
      <c r="N32" s="213"/>
      <c r="O32" s="213"/>
      <c r="P32" s="213"/>
      <c r="Q32" s="214"/>
    </row>
    <row r="33" spans="2:17" ht="22.2" customHeight="1" x14ac:dyDescent="0.4">
      <c r="B33" s="247"/>
      <c r="C33" s="248"/>
      <c r="D33" s="134"/>
      <c r="E33" s="103" t="str">
        <f>IFERROR(VLOOKUP(B33,ServiceTable[[Service]:[GST]],2,FALSE),"")</f>
        <v/>
      </c>
      <c r="F33" s="66"/>
      <c r="G33" s="67"/>
      <c r="H33" s="68" t="str">
        <f>IFERROR(((VLOOKUP(B33,ServiceTable[[Service]:[GST]],3,FALSE)))-((VLOOKUP(B33,ServiceTable[[Service]:[GST]],3,FALSE))*G33),"")</f>
        <v/>
      </c>
      <c r="I33" s="249" t="str">
        <f>IFERROR(VLOOKUP(B33,ServiceTable[[Service]:[GST]],4,FALSE),"")</f>
        <v/>
      </c>
      <c r="J33" s="250"/>
      <c r="K33" s="212" t="str">
        <f>IFERROR(((VLOOKUP(B33,ServiceTable[[Service]:[GST]],3,FALSE))*F33)-((VLOOKUP(B33,ServiceTable[[Service]:[GST]],3,FALSE))*F33*G33),"")</f>
        <v/>
      </c>
      <c r="L33" s="213"/>
      <c r="M33" s="213"/>
      <c r="N33" s="213"/>
      <c r="O33" s="213"/>
      <c r="P33" s="213"/>
      <c r="Q33" s="214"/>
    </row>
    <row r="34" spans="2:17" ht="22.2" customHeight="1" x14ac:dyDescent="0.4">
      <c r="B34" s="247"/>
      <c r="C34" s="248"/>
      <c r="D34" s="134"/>
      <c r="E34" s="103" t="str">
        <f>IFERROR(VLOOKUP(B34,ServiceTable[[Service]:[GST]],2,FALSE),"")</f>
        <v/>
      </c>
      <c r="F34" s="66"/>
      <c r="G34" s="67"/>
      <c r="H34" s="68" t="str">
        <f>IFERROR(((VLOOKUP(B34,ServiceTable[[Service]:[GST]],3,FALSE)))-((VLOOKUP(B34,ServiceTable[[Service]:[GST]],3,FALSE))*G34),"")</f>
        <v/>
      </c>
      <c r="I34" s="249" t="str">
        <f>IFERROR(VLOOKUP(B34,ServiceTable[[Service]:[GST]],4,FALSE),"")</f>
        <v/>
      </c>
      <c r="J34" s="250"/>
      <c r="K34" s="212" t="str">
        <f>IFERROR(((VLOOKUP(B34,ServiceTable[[Service]:[GST]],3,FALSE))*F34)-((VLOOKUP(B34,ServiceTable[[Service]:[GST]],3,FALSE))*F34*G34),"")</f>
        <v/>
      </c>
      <c r="L34" s="213"/>
      <c r="M34" s="213"/>
      <c r="N34" s="213"/>
      <c r="O34" s="213"/>
      <c r="P34" s="213"/>
      <c r="Q34" s="214"/>
    </row>
    <row r="35" spans="2:17" ht="22.2" customHeight="1" x14ac:dyDescent="0.4">
      <c r="B35" s="247"/>
      <c r="C35" s="248"/>
      <c r="D35" s="134"/>
      <c r="E35" s="103" t="str">
        <f>IFERROR(VLOOKUP(B35,ServiceTable[[Service]:[GST]],2,FALSE),"")</f>
        <v/>
      </c>
      <c r="F35" s="66"/>
      <c r="G35" s="67"/>
      <c r="H35" s="68" t="str">
        <f>IFERROR(((VLOOKUP(B35,ServiceTable[[Service]:[GST]],3,FALSE)))-((VLOOKUP(B35,ServiceTable[[Service]:[GST]],3,FALSE))*G35),"")</f>
        <v/>
      </c>
      <c r="I35" s="249" t="str">
        <f>IFERROR(VLOOKUP(B35,ServiceTable[[Service]:[GST]],4,FALSE),"")</f>
        <v/>
      </c>
      <c r="J35" s="250"/>
      <c r="K35" s="212" t="str">
        <f>IFERROR(((VLOOKUP(B35,ServiceTable[[Service]:[GST]],3,FALSE))*F35)-((VLOOKUP(B35,ServiceTable[[Service]:[GST]],3,FALSE))*F35*G35),"")</f>
        <v/>
      </c>
      <c r="L35" s="213"/>
      <c r="M35" s="213"/>
      <c r="N35" s="213"/>
      <c r="O35" s="213"/>
      <c r="P35" s="213"/>
      <c r="Q35" s="214"/>
    </row>
    <row r="36" spans="2:17" ht="22.2" customHeight="1" x14ac:dyDescent="0.4">
      <c r="B36" s="243"/>
      <c r="C36" s="244"/>
      <c r="D36" s="134"/>
      <c r="E36" s="104" t="str">
        <f>IFERROR(VLOOKUP(B36,ServiceTable[[Service]:[GST]],2,FALSE),"")</f>
        <v/>
      </c>
      <c r="F36" s="69"/>
      <c r="G36" s="70"/>
      <c r="H36" s="71" t="str">
        <f>IFERROR(((VLOOKUP(B36,ServiceTable[[Service]:[GST]],3,FALSE)))-((VLOOKUP(B36,ServiceTable[[Service]:[GST]],3,FALSE))*G36),"")</f>
        <v/>
      </c>
      <c r="I36" s="245" t="str">
        <f>IFERROR(VLOOKUP(B36,ServiceTable[[Service]:[GST]],4,FALSE),"")</f>
        <v/>
      </c>
      <c r="J36" s="246"/>
      <c r="K36" s="212" t="str">
        <f>IFERROR(((VLOOKUP(B36,ServiceTable[[Service]:[GST]],3,FALSE))*F36)-((VLOOKUP(B36,ServiceTable[[Service]:[GST]],3,FALSE))*F36*G36),"")</f>
        <v/>
      </c>
      <c r="L36" s="213"/>
      <c r="M36" s="213"/>
      <c r="N36" s="213"/>
      <c r="O36" s="213"/>
      <c r="P36" s="213"/>
      <c r="Q36" s="214"/>
    </row>
    <row r="37" spans="2:17" ht="22.2" customHeight="1" x14ac:dyDescent="0.4">
      <c r="B37" s="243"/>
      <c r="C37" s="244"/>
      <c r="D37" s="134"/>
      <c r="E37" s="104" t="str">
        <f>IFERROR(VLOOKUP(B37,ServiceTable[[Service]:[GST]],2,FALSE),"")</f>
        <v/>
      </c>
      <c r="F37" s="69"/>
      <c r="G37" s="70"/>
      <c r="H37" s="71" t="str">
        <f>IFERROR(((VLOOKUP(B37,ServiceTable[[Service]:[GST]],3,FALSE)))-((VLOOKUP(B37,ServiceTable[[Service]:[GST]],3,FALSE))*G37),"")</f>
        <v/>
      </c>
      <c r="I37" s="245" t="str">
        <f>IFERROR(VLOOKUP(B37,ServiceTable[[Service]:[GST]],4,FALSE),"")</f>
        <v/>
      </c>
      <c r="J37" s="246"/>
      <c r="K37" s="212" t="str">
        <f>IFERROR(((VLOOKUP(B37,ServiceTable[[Service]:[GST]],3,FALSE))*F37)-((VLOOKUP(B37,ServiceTable[[Service]:[GST]],3,FALSE))*F37*G37),"")</f>
        <v/>
      </c>
      <c r="L37" s="213"/>
      <c r="M37" s="213"/>
      <c r="N37" s="213"/>
      <c r="O37" s="213"/>
      <c r="P37" s="213"/>
      <c r="Q37" s="214"/>
    </row>
    <row r="38" spans="2:17" ht="22.2" customHeight="1" x14ac:dyDescent="0.4">
      <c r="B38" s="243"/>
      <c r="C38" s="244"/>
      <c r="D38" s="134"/>
      <c r="E38" s="104" t="str">
        <f>IFERROR(VLOOKUP(B38,ServiceTable[[Service]:[GST]],2,FALSE),"")</f>
        <v/>
      </c>
      <c r="F38" s="69"/>
      <c r="G38" s="70"/>
      <c r="H38" s="71" t="str">
        <f>IFERROR(((VLOOKUP(B38,ServiceTable[[Service]:[GST]],3,FALSE)))-((VLOOKUP(B38,ServiceTable[[Service]:[GST]],3,FALSE))*G38),"")</f>
        <v/>
      </c>
      <c r="I38" s="245" t="str">
        <f>IFERROR(VLOOKUP(B38,ServiceTable[[Service]:[GST]],4,FALSE),"")</f>
        <v/>
      </c>
      <c r="J38" s="246"/>
      <c r="K38" s="212" t="str">
        <f>IFERROR(((VLOOKUP(B38,ServiceTable[[Service]:[GST]],3,FALSE))*F38)-((VLOOKUP(B38,ServiceTable[[Service]:[GST]],3,FALSE))*F38*G38),"")</f>
        <v/>
      </c>
      <c r="L38" s="213"/>
      <c r="M38" s="213"/>
      <c r="N38" s="213"/>
      <c r="O38" s="213"/>
      <c r="P38" s="213"/>
      <c r="Q38" s="214"/>
    </row>
    <row r="39" spans="2:17" ht="22.2" customHeight="1" x14ac:dyDescent="0.4">
      <c r="B39" s="243"/>
      <c r="C39" s="244"/>
      <c r="D39" s="134"/>
      <c r="E39" s="104" t="str">
        <f>IFERROR(VLOOKUP(B39,ServiceTable[[Service]:[GST]],2,FALSE),"")</f>
        <v/>
      </c>
      <c r="F39" s="69"/>
      <c r="G39" s="70"/>
      <c r="H39" s="71" t="str">
        <f>IFERROR(((VLOOKUP(B39,ServiceTable[[Service]:[GST]],3,FALSE)))-((VLOOKUP(B39,ServiceTable[[Service]:[GST]],3,FALSE))*G39),"")</f>
        <v/>
      </c>
      <c r="I39" s="245" t="str">
        <f>IFERROR(VLOOKUP(B39,ServiceTable[[Service]:[GST]],4,FALSE),"")</f>
        <v/>
      </c>
      <c r="J39" s="246"/>
      <c r="K39" s="212" t="str">
        <f>IFERROR(((VLOOKUP(B39,ServiceTable[[Service]:[GST]],3,FALSE))*F39)-((VLOOKUP(B39,ServiceTable[[Service]:[GST]],3,FALSE))*F39*G39),"")</f>
        <v/>
      </c>
      <c r="L39" s="213"/>
      <c r="M39" s="213"/>
      <c r="N39" s="213"/>
      <c r="O39" s="213"/>
      <c r="P39" s="213"/>
      <c r="Q39" s="214"/>
    </row>
    <row r="40" spans="2:17" ht="22.2" customHeight="1" x14ac:dyDescent="0.4">
      <c r="B40" s="243"/>
      <c r="C40" s="244"/>
      <c r="D40" s="134"/>
      <c r="E40" s="104" t="str">
        <f>IFERROR(VLOOKUP(B40,ServiceTable[[Service]:[GST]],2,FALSE),"")</f>
        <v/>
      </c>
      <c r="F40" s="69"/>
      <c r="G40" s="70"/>
      <c r="H40" s="71" t="str">
        <f>IFERROR(((VLOOKUP(B40,ServiceTable[[Service]:[GST]],3,FALSE)))-((VLOOKUP(B40,ServiceTable[[Service]:[GST]],3,FALSE))*G40),"")</f>
        <v/>
      </c>
      <c r="I40" s="245" t="str">
        <f>IFERROR(VLOOKUP(B40,ServiceTable[[Service]:[GST]],4,FALSE),"")</f>
        <v/>
      </c>
      <c r="J40" s="246"/>
      <c r="K40" s="212" t="str">
        <f>IFERROR(((VLOOKUP(B40,ServiceTable[[Service]:[GST]],3,FALSE))*F40)-((VLOOKUP(B40,ServiceTable[[Service]:[GST]],3,FALSE))*F40*G40),"")</f>
        <v/>
      </c>
      <c r="L40" s="213"/>
      <c r="M40" s="213"/>
      <c r="N40" s="213"/>
      <c r="O40" s="213"/>
      <c r="P40" s="213"/>
      <c r="Q40" s="214"/>
    </row>
    <row r="41" spans="2:17" ht="22.2" customHeight="1" x14ac:dyDescent="0.4">
      <c r="B41" s="243"/>
      <c r="C41" s="244"/>
      <c r="D41" s="134"/>
      <c r="E41" s="104" t="str">
        <f>IFERROR(VLOOKUP(B41,ServiceTable[[Service]:[GST]],2,FALSE),"")</f>
        <v/>
      </c>
      <c r="F41" s="69"/>
      <c r="G41" s="70"/>
      <c r="H41" s="71" t="str">
        <f>IFERROR(((VLOOKUP(B41,ServiceTable[[Service]:[GST]],3,FALSE)))-((VLOOKUP(B41,ServiceTable[[Service]:[GST]],3,FALSE))*G41),"")</f>
        <v/>
      </c>
      <c r="I41" s="245" t="str">
        <f>IFERROR(VLOOKUP(B41,ServiceTable[[Service]:[GST]],4,FALSE),"")</f>
        <v/>
      </c>
      <c r="J41" s="246"/>
      <c r="K41" s="212" t="str">
        <f>IFERROR(((VLOOKUP(B41,ServiceTable[[Service]:[GST]],3,FALSE))*F41)-((VLOOKUP(B41,ServiceTable[[Service]:[GST]],3,FALSE))*F41*G41),"")</f>
        <v/>
      </c>
      <c r="L41" s="213"/>
      <c r="M41" s="213"/>
      <c r="N41" s="213"/>
      <c r="O41" s="213"/>
      <c r="P41" s="213"/>
      <c r="Q41" s="214"/>
    </row>
    <row r="42" spans="2:17" ht="22.2" customHeight="1" x14ac:dyDescent="0.4">
      <c r="B42" s="243"/>
      <c r="C42" s="244"/>
      <c r="D42" s="134"/>
      <c r="E42" s="104" t="str">
        <f>IFERROR(VLOOKUP(B42,ServiceTable[[Service]:[GST]],2,FALSE),"")</f>
        <v/>
      </c>
      <c r="F42" s="69"/>
      <c r="G42" s="70"/>
      <c r="H42" s="71" t="str">
        <f>IFERROR(((VLOOKUP(B42,ServiceTable[[Service]:[GST]],3,FALSE)))-((VLOOKUP(B42,ServiceTable[[Service]:[GST]],3,FALSE))*G42),"")</f>
        <v/>
      </c>
      <c r="I42" s="245" t="str">
        <f>IFERROR(VLOOKUP(B42,ServiceTable[[Service]:[GST]],4,FALSE),"")</f>
        <v/>
      </c>
      <c r="J42" s="246"/>
      <c r="K42" s="212" t="str">
        <f>IFERROR(((VLOOKUP(B42,ServiceTable[[Service]:[GST]],3,FALSE))*F42)-((VLOOKUP(B42,ServiceTable[[Service]:[GST]],3,FALSE))*F42*G42),"")</f>
        <v/>
      </c>
      <c r="L42" s="213"/>
      <c r="M42" s="213"/>
      <c r="N42" s="213"/>
      <c r="O42" s="213"/>
      <c r="P42" s="213"/>
      <c r="Q42" s="214"/>
    </row>
    <row r="43" spans="2:17" ht="22.2" customHeight="1" x14ac:dyDescent="0.4">
      <c r="B43" s="243"/>
      <c r="C43" s="244"/>
      <c r="D43" s="134"/>
      <c r="E43" s="104" t="str">
        <f>IFERROR(VLOOKUP(B43,ServiceTable[[Service]:[GST]],2,FALSE),"")</f>
        <v/>
      </c>
      <c r="F43" s="69"/>
      <c r="G43" s="70"/>
      <c r="H43" s="71" t="str">
        <f>IFERROR(((VLOOKUP(B43,ServiceTable[[Service]:[GST]],3,FALSE)))-((VLOOKUP(B43,ServiceTable[[Service]:[GST]],3,FALSE))*G43),"")</f>
        <v/>
      </c>
      <c r="I43" s="245" t="str">
        <f>IFERROR(VLOOKUP(B43,ServiceTable[[Service]:[GST]],4,FALSE),"")</f>
        <v/>
      </c>
      <c r="J43" s="246"/>
      <c r="K43" s="212" t="str">
        <f>IFERROR(((VLOOKUP(B43,ServiceTable[[Service]:[GST]],3,FALSE))*F43)-((VLOOKUP(B43,ServiceTable[[Service]:[GST]],3,FALSE))*F43*G43),"")</f>
        <v/>
      </c>
      <c r="L43" s="213"/>
      <c r="M43" s="213"/>
      <c r="N43" s="213"/>
      <c r="O43" s="213"/>
      <c r="P43" s="213"/>
      <c r="Q43" s="214"/>
    </row>
    <row r="44" spans="2:17" ht="22.2" customHeight="1" x14ac:dyDescent="0.4">
      <c r="B44" s="243"/>
      <c r="C44" s="244"/>
      <c r="D44" s="134"/>
      <c r="E44" s="104" t="str">
        <f>IFERROR(VLOOKUP(B44,ServiceTable[[Service]:[GST]],2,FALSE),"")</f>
        <v/>
      </c>
      <c r="F44" s="69"/>
      <c r="G44" s="70"/>
      <c r="H44" s="71" t="str">
        <f>IFERROR(((VLOOKUP(B44,ServiceTable[[Service]:[GST]],3,FALSE)))-((VLOOKUP(B44,ServiceTable[[Service]:[GST]],3,FALSE))*G44),"")</f>
        <v/>
      </c>
      <c r="I44" s="245" t="str">
        <f>IFERROR(VLOOKUP(B44,ServiceTable[[Service]:[GST]],4,FALSE),"")</f>
        <v/>
      </c>
      <c r="J44" s="246"/>
      <c r="K44" s="212" t="str">
        <f>IFERROR(((VLOOKUP(B44,ServiceTable[[Service]:[GST]],3,FALSE))*F44)-((VLOOKUP(B44,ServiceTable[[Service]:[GST]],3,FALSE))*F44*G44),"")</f>
        <v/>
      </c>
      <c r="L44" s="213"/>
      <c r="M44" s="213"/>
      <c r="N44" s="213"/>
      <c r="O44" s="213"/>
      <c r="P44" s="213"/>
      <c r="Q44" s="214"/>
    </row>
    <row r="45" spans="2:17" ht="22.2" customHeight="1" x14ac:dyDescent="0.4">
      <c r="B45" s="243"/>
      <c r="C45" s="244"/>
      <c r="D45" s="134"/>
      <c r="E45" s="104" t="str">
        <f>IFERROR(VLOOKUP(B45,ServiceTable[[Service]:[GST]],2,FALSE),"")</f>
        <v/>
      </c>
      <c r="F45" s="69"/>
      <c r="G45" s="70"/>
      <c r="H45" s="71" t="str">
        <f>IFERROR(((VLOOKUP(B45,ServiceTable[[Service]:[GST]],3,FALSE)))-((VLOOKUP(B45,ServiceTable[[Service]:[GST]],3,FALSE))*G45),"")</f>
        <v/>
      </c>
      <c r="I45" s="245" t="str">
        <f>IFERROR(VLOOKUP(B45,ServiceTable[[Service]:[GST]],4,FALSE),"")</f>
        <v/>
      </c>
      <c r="J45" s="246"/>
      <c r="K45" s="212" t="str">
        <f>IFERROR(((VLOOKUP(B45,ServiceTable[[Service]:[GST]],3,FALSE))*F45)-((VLOOKUP(B45,ServiceTable[[Service]:[GST]],3,FALSE))*F45*G45),"")</f>
        <v/>
      </c>
      <c r="L45" s="213"/>
      <c r="M45" s="213"/>
      <c r="N45" s="213"/>
      <c r="O45" s="213"/>
      <c r="P45" s="213"/>
      <c r="Q45" s="214"/>
    </row>
    <row r="46" spans="2:17" ht="22.2" customHeight="1" x14ac:dyDescent="0.4">
      <c r="B46" s="243"/>
      <c r="C46" s="244"/>
      <c r="D46" s="134"/>
      <c r="E46" s="104" t="str">
        <f>IFERROR(VLOOKUP(B46,ServiceTable[[Service]:[GST]],2,FALSE),"")</f>
        <v/>
      </c>
      <c r="F46" s="69"/>
      <c r="G46" s="70"/>
      <c r="H46" s="71" t="str">
        <f>IFERROR(((VLOOKUP(B46,ServiceTable[[Service]:[GST]],3,FALSE)))-((VLOOKUP(B46,ServiceTable[[Service]:[GST]],3,FALSE))*G46),"")</f>
        <v/>
      </c>
      <c r="I46" s="245" t="str">
        <f>IFERROR(VLOOKUP(B46,ServiceTable[[Service]:[GST]],4,FALSE),"")</f>
        <v/>
      </c>
      <c r="J46" s="246"/>
      <c r="K46" s="212" t="str">
        <f>IFERROR(((VLOOKUP(B46,ServiceTable[[Service]:[GST]],3,FALSE))*F46)-((VLOOKUP(B46,ServiceTable[[Service]:[GST]],3,FALSE))*F46*G46),"")</f>
        <v/>
      </c>
      <c r="L46" s="213"/>
      <c r="M46" s="213"/>
      <c r="N46" s="213"/>
      <c r="O46" s="213"/>
      <c r="P46" s="213"/>
      <c r="Q46" s="214"/>
    </row>
    <row r="47" spans="2:17" ht="22.2" customHeight="1" x14ac:dyDescent="0.4">
      <c r="B47" s="243"/>
      <c r="C47" s="244"/>
      <c r="D47" s="134"/>
      <c r="E47" s="104" t="str">
        <f>IFERROR(VLOOKUP(B47,ServiceTable[[Service]:[GST]],2,FALSE),"")</f>
        <v/>
      </c>
      <c r="F47" s="69"/>
      <c r="G47" s="70"/>
      <c r="H47" s="71" t="str">
        <f>IFERROR(((VLOOKUP(B47,ServiceTable[[Service]:[GST]],3,FALSE)))-((VLOOKUP(B47,ServiceTable[[Service]:[GST]],3,FALSE))*G47),"")</f>
        <v/>
      </c>
      <c r="I47" s="245" t="str">
        <f>IFERROR(VLOOKUP(B47,ServiceTable[[Service]:[GST]],4,FALSE),"")</f>
        <v/>
      </c>
      <c r="J47" s="246"/>
      <c r="K47" s="212" t="str">
        <f>IFERROR(((VLOOKUP(B47,ServiceTable[[Service]:[GST]],3,FALSE))*F47)-((VLOOKUP(B47,ServiceTable[[Service]:[GST]],3,FALSE))*F47*G47),"")</f>
        <v/>
      </c>
      <c r="L47" s="213"/>
      <c r="M47" s="213"/>
      <c r="N47" s="213"/>
      <c r="O47" s="213"/>
      <c r="P47" s="213"/>
      <c r="Q47" s="214"/>
    </row>
    <row r="48" spans="2:17" ht="22.2" customHeight="1" x14ac:dyDescent="0.4">
      <c r="B48" s="243"/>
      <c r="C48" s="244"/>
      <c r="D48" s="134"/>
      <c r="E48" s="104" t="str">
        <f>IFERROR(VLOOKUP(B48,ServiceTable[[Service]:[GST]],2,FALSE),"")</f>
        <v/>
      </c>
      <c r="F48" s="69"/>
      <c r="G48" s="70"/>
      <c r="H48" s="71" t="str">
        <f>IFERROR(((VLOOKUP(B48,ServiceTable[[Service]:[GST]],3,FALSE)))-((VLOOKUP(B48,ServiceTable[[Service]:[GST]],3,FALSE))*G48),"")</f>
        <v/>
      </c>
      <c r="I48" s="245" t="str">
        <f>IFERROR(VLOOKUP(B48,ServiceTable[[Service]:[GST]],4,FALSE),"")</f>
        <v/>
      </c>
      <c r="J48" s="246"/>
      <c r="K48" s="212" t="str">
        <f>IFERROR(((VLOOKUP(B48,ServiceTable[[Service]:[GST]],3,FALSE))*F48)-((VLOOKUP(B48,ServiceTable[[Service]:[GST]],3,FALSE))*F48*G48),"")</f>
        <v/>
      </c>
      <c r="L48" s="213"/>
      <c r="M48" s="213"/>
      <c r="N48" s="213"/>
      <c r="O48" s="213"/>
      <c r="P48" s="213"/>
      <c r="Q48" s="214"/>
    </row>
    <row r="49" spans="2:17" ht="22.2" customHeight="1" x14ac:dyDescent="0.4">
      <c r="B49" s="241"/>
      <c r="C49" s="242"/>
      <c r="D49" s="134"/>
      <c r="E49" s="105" t="str">
        <f>IFERROR(VLOOKUP(B49,ServiceTable[[Service]:[GST]],2,FALSE),"")</f>
        <v/>
      </c>
      <c r="F49" s="72"/>
      <c r="G49" s="73"/>
      <c r="H49" s="74" t="str">
        <f>IFERROR(((VLOOKUP(B49,ServiceTable[[Service]:[GST]],3,FALSE)))-((VLOOKUP(B49,ServiceTable[[Service]:[GST]],3,FALSE))*G49),"")</f>
        <v/>
      </c>
      <c r="I49" s="146" t="str">
        <f>IFERROR(VLOOKUP(B49,ServiceTable[[Service]:[GST]],4,FALSE),"")</f>
        <v/>
      </c>
      <c r="J49" s="147"/>
      <c r="K49" s="212" t="str">
        <f>IFERROR(((VLOOKUP(B49,ServiceTable[[Service]:[GST]],3,FALSE))*F49)-((VLOOKUP(B49,ServiceTable[[Service]:[GST]],3,FALSE))*F49*G49),"")</f>
        <v/>
      </c>
      <c r="L49" s="213"/>
      <c r="M49" s="213"/>
      <c r="N49" s="213"/>
      <c r="O49" s="213"/>
      <c r="P49" s="213"/>
      <c r="Q49" s="214"/>
    </row>
    <row r="50" spans="2:17" ht="22.2" customHeight="1" x14ac:dyDescent="0.4">
      <c r="B50" s="241"/>
      <c r="C50" s="242"/>
      <c r="D50" s="134"/>
      <c r="E50" s="105" t="str">
        <f>IFERROR(VLOOKUP(B50,ServiceTable[[Service]:[GST]],2,FALSE),"")</f>
        <v/>
      </c>
      <c r="F50" s="72"/>
      <c r="G50" s="73"/>
      <c r="H50" s="74" t="str">
        <f>IFERROR(((VLOOKUP(B50,ServiceTable[[Service]:[GST]],3,FALSE)))-((VLOOKUP(B50,ServiceTable[[Service]:[GST]],3,FALSE))*G50),"")</f>
        <v/>
      </c>
      <c r="I50" s="146" t="str">
        <f>IFERROR(VLOOKUP(B50,ServiceTable[[Service]:[GST]],4,FALSE),"")</f>
        <v/>
      </c>
      <c r="J50" s="147"/>
      <c r="K50" s="212" t="str">
        <f>IFERROR(((VLOOKUP(B50,ServiceTable[[Service]:[GST]],3,FALSE))*F50)-((VLOOKUP(B50,ServiceTable[[Service]:[GST]],3,FALSE))*F50*G50),"")</f>
        <v/>
      </c>
      <c r="L50" s="213"/>
      <c r="M50" s="213"/>
      <c r="N50" s="213"/>
      <c r="O50" s="213"/>
      <c r="P50" s="213"/>
      <c r="Q50" s="214"/>
    </row>
    <row r="51" spans="2:17" ht="22.2" customHeight="1" x14ac:dyDescent="0.4">
      <c r="B51" s="241"/>
      <c r="C51" s="242"/>
      <c r="D51" s="134"/>
      <c r="E51" s="105" t="str">
        <f>IFERROR(VLOOKUP(B51,ServiceTable[[Service]:[GST]],2,FALSE),"")</f>
        <v/>
      </c>
      <c r="F51" s="72"/>
      <c r="G51" s="73"/>
      <c r="H51" s="74" t="str">
        <f>IFERROR(((VLOOKUP(B51,ServiceTable[[Service]:[GST]],3,FALSE)))-((VLOOKUP(B51,ServiceTable[[Service]:[GST]],3,FALSE))*G51),"")</f>
        <v/>
      </c>
      <c r="I51" s="146" t="str">
        <f>IFERROR(VLOOKUP(B51,ServiceTable[[Service]:[GST]],4,FALSE),"")</f>
        <v/>
      </c>
      <c r="J51" s="147"/>
      <c r="K51" s="212" t="str">
        <f>IFERROR(((VLOOKUP(B51,ServiceTable[[Service]:[GST]],3,FALSE))*F51)-((VLOOKUP(B51,ServiceTable[[Service]:[GST]],3,FALSE))*F51*G51),"")</f>
        <v/>
      </c>
      <c r="L51" s="213"/>
      <c r="M51" s="213"/>
      <c r="N51" s="213"/>
      <c r="O51" s="213"/>
      <c r="P51" s="213"/>
      <c r="Q51" s="214"/>
    </row>
    <row r="52" spans="2:17" ht="22.2" customHeight="1" x14ac:dyDescent="0.4">
      <c r="B52" s="210"/>
      <c r="C52" s="211"/>
      <c r="D52" s="134"/>
      <c r="E52" s="106" t="str">
        <f>IFERROR(VLOOKUP(B52,ServiceTable[[Service]:[GST]],2,FALSE),"")</f>
        <v/>
      </c>
      <c r="F52" s="72"/>
      <c r="G52" s="73"/>
      <c r="H52" s="74" t="str">
        <f>IFERROR(((VLOOKUP(B52,ServiceTable[[Service]:[GST]],3,FALSE)))-((VLOOKUP(B52,ServiceTable[[Service]:[GST]],3,FALSE))*G52),"")</f>
        <v/>
      </c>
      <c r="I52" s="146" t="str">
        <f>IFERROR(VLOOKUP(B52,ServiceTable[[Service]:[GST]],4,FALSE),"")</f>
        <v/>
      </c>
      <c r="J52" s="147"/>
      <c r="K52" s="212" t="str">
        <f>IFERROR(((VLOOKUP(B52,ServiceTable[[Service]:[GST]],3,FALSE))*F52)-((VLOOKUP(B52,ServiceTable[[Service]:[GST]],3,FALSE))*F52*G52),"")</f>
        <v/>
      </c>
      <c r="L52" s="213"/>
      <c r="M52" s="213"/>
      <c r="N52" s="213"/>
      <c r="O52" s="213"/>
      <c r="P52" s="213"/>
      <c r="Q52" s="214"/>
    </row>
    <row r="53" spans="2:17" ht="22.2" customHeight="1" x14ac:dyDescent="0.4">
      <c r="B53" s="215"/>
      <c r="C53" s="216"/>
      <c r="D53" s="133"/>
      <c r="E53" s="77" t="str">
        <f>IFERROR(VLOOKUP(B53,ServiceTable[[Service]:[GST]],2,FALSE),"")</f>
        <v/>
      </c>
      <c r="F53" s="72"/>
      <c r="G53" s="75"/>
      <c r="H53" s="76" t="str">
        <f>IFERROR(((VLOOKUP(B53,ServiceTable[[Service]:[GST]],3,FALSE)))-((VLOOKUP(B53,ServiceTable[[Service]:[GST]],3,FALSE))*G53),"")</f>
        <v/>
      </c>
      <c r="I53" s="148" t="str">
        <f>IFERROR(VLOOKUP(B53,ServiceTable[[Service]:[GST]],4,FALSE),"")</f>
        <v/>
      </c>
      <c r="J53" s="149"/>
      <c r="K53" s="217" t="str">
        <f>IFERROR(((VLOOKUP(B53,ServiceTable[[Service]:[GST]],3,FALSE))*F53)-((VLOOKUP(B53,ServiceTable[[Service]:[GST]],3,FALSE))*F53*G53),"")</f>
        <v/>
      </c>
      <c r="L53" s="218"/>
      <c r="M53" s="218"/>
      <c r="N53" s="218"/>
      <c r="O53" s="218"/>
      <c r="P53" s="218"/>
      <c r="Q53" s="219"/>
    </row>
    <row r="54" spans="2:17" ht="22.2" customHeight="1" x14ac:dyDescent="0.4">
      <c r="B54" s="107"/>
      <c r="C54" s="108"/>
      <c r="D54" s="133"/>
      <c r="E54" s="77"/>
      <c r="F54" s="234" t="s">
        <v>136</v>
      </c>
      <c r="G54" s="235"/>
      <c r="H54" s="236"/>
      <c r="I54" s="150" t="s">
        <v>137</v>
      </c>
      <c r="J54" s="151"/>
      <c r="K54" s="188" t="str">
        <f>IF((SUM(K28:Q53)-(SUM(K28:Q53)*H55))&gt;0, SUM(K28:Q53)-(SUM(K28:Q53)*H55),"")</f>
        <v/>
      </c>
      <c r="L54" s="189"/>
      <c r="M54" s="189"/>
      <c r="N54" s="189"/>
      <c r="O54" s="189"/>
      <c r="P54" s="189"/>
      <c r="Q54" s="190"/>
    </row>
    <row r="55" spans="2:17" ht="19.8" customHeight="1" x14ac:dyDescent="0.4">
      <c r="B55" s="107"/>
      <c r="C55" s="108"/>
      <c r="D55" s="133"/>
      <c r="E55" s="77"/>
      <c r="F55" s="237"/>
      <c r="G55" s="238"/>
      <c r="H55" s="232"/>
      <c r="I55" s="152"/>
      <c r="J55" s="153"/>
      <c r="K55" s="191"/>
      <c r="L55" s="192"/>
      <c r="M55" s="192"/>
      <c r="N55" s="192"/>
      <c r="O55" s="192"/>
      <c r="P55" s="192"/>
      <c r="Q55" s="193"/>
    </row>
    <row r="56" spans="2:17" ht="23.4" customHeight="1" x14ac:dyDescent="0.4">
      <c r="B56" s="107"/>
      <c r="C56" s="108"/>
      <c r="D56" s="133"/>
      <c r="E56" s="77"/>
      <c r="F56" s="239"/>
      <c r="G56" s="240"/>
      <c r="H56" s="233"/>
      <c r="I56" s="154"/>
      <c r="J56" s="155"/>
      <c r="K56" s="191"/>
      <c r="L56" s="192"/>
      <c r="M56" s="192"/>
      <c r="N56" s="192"/>
      <c r="O56" s="192"/>
      <c r="P56" s="192"/>
      <c r="Q56" s="193"/>
    </row>
    <row r="57" spans="2:17" ht="17.100000000000001" customHeight="1" x14ac:dyDescent="0.4">
      <c r="B57" s="173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5"/>
    </row>
    <row r="58" spans="2:17" ht="30" customHeight="1" x14ac:dyDescent="0.4">
      <c r="B58" s="220"/>
      <c r="C58" s="221"/>
      <c r="D58" s="135"/>
      <c r="E58" s="209" t="s">
        <v>140</v>
      </c>
      <c r="F58" s="209" t="str">
        <f>IF(SUM(F28:F53), SUM(F28:F53), "")</f>
        <v/>
      </c>
      <c r="G58" s="222"/>
      <c r="H58" s="224"/>
      <c r="I58" s="156" t="s">
        <v>107</v>
      </c>
      <c r="J58" s="157"/>
      <c r="K58" s="226" t="str">
        <f>IF((SUMPRODUCT(I28:I53,K28:K53))&gt;0,(SUMPRODUCT(I28:I53,K28:K53))," ")</f>
        <v xml:space="preserve"> </v>
      </c>
      <c r="L58" s="227"/>
      <c r="M58" s="227"/>
      <c r="N58" s="227"/>
      <c r="O58" s="227"/>
      <c r="P58" s="227"/>
      <c r="Q58" s="228"/>
    </row>
    <row r="59" spans="2:17" ht="30" customHeight="1" x14ac:dyDescent="0.4">
      <c r="B59" s="171"/>
      <c r="C59" s="172"/>
      <c r="E59" s="209"/>
      <c r="F59" s="209"/>
      <c r="G59" s="223"/>
      <c r="H59" s="225"/>
      <c r="I59" s="158"/>
      <c r="J59" s="159"/>
      <c r="K59" s="229"/>
      <c r="L59" s="230"/>
      <c r="M59" s="230"/>
      <c r="N59" s="230"/>
      <c r="O59" s="230"/>
      <c r="P59" s="230"/>
      <c r="Q59" s="231"/>
    </row>
    <row r="60" spans="2:17" ht="17.100000000000001" customHeight="1" x14ac:dyDescent="0.4">
      <c r="B60" s="173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5"/>
    </row>
    <row r="61" spans="2:17" ht="30" customHeight="1" x14ac:dyDescent="0.4">
      <c r="B61" s="176" t="s">
        <v>108</v>
      </c>
      <c r="C61" s="179"/>
      <c r="D61" s="180"/>
      <c r="E61" s="180"/>
      <c r="F61" s="180"/>
      <c r="G61" s="180"/>
      <c r="H61" s="181"/>
      <c r="I61" s="160" t="s">
        <v>109</v>
      </c>
      <c r="J61" s="161"/>
      <c r="K61" s="188" t="str">
        <f>IF(SUM(K54,K58)&gt;0, SUM(K54,K58), "")</f>
        <v/>
      </c>
      <c r="L61" s="189"/>
      <c r="M61" s="189"/>
      <c r="N61" s="189"/>
      <c r="O61" s="189"/>
      <c r="P61" s="189"/>
      <c r="Q61" s="190"/>
    </row>
    <row r="62" spans="2:17" ht="30" customHeight="1" x14ac:dyDescent="0.4">
      <c r="B62" s="177"/>
      <c r="C62" s="182"/>
      <c r="D62" s="183"/>
      <c r="E62" s="183"/>
      <c r="F62" s="183"/>
      <c r="G62" s="183"/>
      <c r="H62" s="184"/>
      <c r="I62" s="162"/>
      <c r="J62" s="163"/>
      <c r="K62" s="191"/>
      <c r="L62" s="192"/>
      <c r="M62" s="192"/>
      <c r="N62" s="192"/>
      <c r="O62" s="192"/>
      <c r="P62" s="192"/>
      <c r="Q62" s="193"/>
    </row>
    <row r="63" spans="2:17" ht="30" customHeight="1" x14ac:dyDescent="0.4">
      <c r="B63" s="178"/>
      <c r="C63" s="185"/>
      <c r="D63" s="186"/>
      <c r="E63" s="186"/>
      <c r="F63" s="186"/>
      <c r="G63" s="186"/>
      <c r="H63" s="187"/>
      <c r="I63" s="164"/>
      <c r="J63" s="165"/>
      <c r="K63" s="194"/>
      <c r="L63" s="195"/>
      <c r="M63" s="195"/>
      <c r="N63" s="195"/>
      <c r="O63" s="195"/>
      <c r="P63" s="195"/>
      <c r="Q63" s="196"/>
    </row>
    <row r="64" spans="2:17" ht="24.6" customHeight="1" x14ac:dyDescent="0.4">
      <c r="B64" s="78" t="s">
        <v>110</v>
      </c>
      <c r="C64" s="197"/>
      <c r="D64" s="198"/>
      <c r="E64" s="199" t="s">
        <v>111</v>
      </c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200"/>
    </row>
    <row r="65" spans="2:17" ht="24.6" customHeight="1" x14ac:dyDescent="0.4">
      <c r="B65" s="79"/>
      <c r="C65" s="93"/>
      <c r="D65" s="136"/>
      <c r="E65" s="92"/>
      <c r="F65" s="201"/>
      <c r="G65" s="202"/>
      <c r="H65" s="202"/>
      <c r="I65" s="203"/>
      <c r="J65" s="94"/>
      <c r="K65" s="94"/>
      <c r="L65" s="94"/>
      <c r="M65" s="94"/>
      <c r="Q65" s="45"/>
    </row>
    <row r="66" spans="2:17" ht="24.6" customHeight="1" x14ac:dyDescent="0.4">
      <c r="B66" s="80" t="s">
        <v>112</v>
      </c>
      <c r="C66" s="204"/>
      <c r="D66" s="205"/>
      <c r="E66" s="92"/>
      <c r="F66" s="94"/>
      <c r="G66" s="94"/>
      <c r="H66" s="94"/>
      <c r="I66" s="92"/>
      <c r="J66" s="92"/>
      <c r="K66" s="92"/>
      <c r="L66" s="92"/>
      <c r="M66" s="92"/>
      <c r="Q66" s="45"/>
    </row>
    <row r="67" spans="2:17" ht="24.6" customHeight="1" x14ac:dyDescent="0.4">
      <c r="B67" s="81"/>
      <c r="C67" s="95"/>
      <c r="D67" s="137"/>
      <c r="E67" s="92"/>
      <c r="F67" s="94"/>
      <c r="G67" s="94"/>
      <c r="H67" s="94"/>
      <c r="I67" s="92"/>
      <c r="J67" s="92"/>
      <c r="K67" s="92"/>
      <c r="L67" s="92"/>
      <c r="M67" s="92"/>
      <c r="Q67" s="45"/>
    </row>
    <row r="68" spans="2:17" ht="24.6" customHeight="1" x14ac:dyDescent="0.4">
      <c r="B68" s="206" t="s">
        <v>113</v>
      </c>
      <c r="C68" s="207"/>
      <c r="D68" s="208"/>
      <c r="E68" s="92"/>
      <c r="F68" s="94"/>
      <c r="G68" s="94"/>
      <c r="H68" s="94"/>
      <c r="I68" s="92"/>
      <c r="J68" s="92"/>
      <c r="K68" s="92"/>
      <c r="L68" s="92"/>
      <c r="M68" s="92"/>
      <c r="Q68" s="45"/>
    </row>
    <row r="69" spans="2:17" ht="24.6" customHeight="1" thickBot="1" x14ac:dyDescent="0.45">
      <c r="B69" s="166"/>
      <c r="C69" s="167"/>
      <c r="D69" s="168"/>
      <c r="E69" s="169" t="s">
        <v>114</v>
      </c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70"/>
    </row>
  </sheetData>
  <mergeCells count="125">
    <mergeCell ref="K24:Q24"/>
    <mergeCell ref="K25:Q25"/>
    <mergeCell ref="B27:C27"/>
    <mergeCell ref="K27:Q27"/>
    <mergeCell ref="E24:G24"/>
    <mergeCell ref="E25:G25"/>
    <mergeCell ref="I27:J27"/>
    <mergeCell ref="K23:Q23"/>
    <mergeCell ref="B14:Q14"/>
    <mergeCell ref="B16:C16"/>
    <mergeCell ref="D16:G16"/>
    <mergeCell ref="B17:C17"/>
    <mergeCell ref="D17:G17"/>
    <mergeCell ref="D19:G19"/>
    <mergeCell ref="E21:G21"/>
    <mergeCell ref="E22:G22"/>
    <mergeCell ref="E23:G23"/>
    <mergeCell ref="D20:G20"/>
    <mergeCell ref="B21:C21"/>
    <mergeCell ref="J15:K15"/>
    <mergeCell ref="C26:Q26"/>
    <mergeCell ref="B28:C28"/>
    <mergeCell ref="K28:Q28"/>
    <mergeCell ref="B29:C29"/>
    <mergeCell ref="K29:Q29"/>
    <mergeCell ref="B30:C30"/>
    <mergeCell ref="K30:Q30"/>
    <mergeCell ref="I28:J28"/>
    <mergeCell ref="I29:J29"/>
    <mergeCell ref="I30:J30"/>
    <mergeCell ref="B31:C31"/>
    <mergeCell ref="K31:Q31"/>
    <mergeCell ref="B32:C32"/>
    <mergeCell ref="K32:Q32"/>
    <mergeCell ref="B33:C33"/>
    <mergeCell ref="K33:Q33"/>
    <mergeCell ref="I31:J31"/>
    <mergeCell ref="I32:J32"/>
    <mergeCell ref="I33:J33"/>
    <mergeCell ref="B34:C34"/>
    <mergeCell ref="K34:Q34"/>
    <mergeCell ref="B35:C35"/>
    <mergeCell ref="K35:Q35"/>
    <mergeCell ref="B36:C36"/>
    <mergeCell ref="K36:Q36"/>
    <mergeCell ref="I34:J34"/>
    <mergeCell ref="I35:J35"/>
    <mergeCell ref="I36:J36"/>
    <mergeCell ref="B37:C37"/>
    <mergeCell ref="K37:Q37"/>
    <mergeCell ref="B38:C38"/>
    <mergeCell ref="K38:Q38"/>
    <mergeCell ref="B39:C39"/>
    <mergeCell ref="K39:Q39"/>
    <mergeCell ref="I37:J37"/>
    <mergeCell ref="I38:J38"/>
    <mergeCell ref="I39:J39"/>
    <mergeCell ref="B40:C40"/>
    <mergeCell ref="K40:Q40"/>
    <mergeCell ref="B41:C41"/>
    <mergeCell ref="K41:Q41"/>
    <mergeCell ref="B42:C42"/>
    <mergeCell ref="K42:Q42"/>
    <mergeCell ref="I40:J40"/>
    <mergeCell ref="I41:J41"/>
    <mergeCell ref="I42:J42"/>
    <mergeCell ref="B43:C43"/>
    <mergeCell ref="K43:Q43"/>
    <mergeCell ref="B44:C44"/>
    <mergeCell ref="K44:Q44"/>
    <mergeCell ref="B45:C45"/>
    <mergeCell ref="K45:Q45"/>
    <mergeCell ref="I43:J43"/>
    <mergeCell ref="I44:J44"/>
    <mergeCell ref="I45:J45"/>
    <mergeCell ref="B46:C46"/>
    <mergeCell ref="K46:Q46"/>
    <mergeCell ref="B47:C47"/>
    <mergeCell ref="K47:Q47"/>
    <mergeCell ref="B48:C48"/>
    <mergeCell ref="K48:Q48"/>
    <mergeCell ref="I46:J46"/>
    <mergeCell ref="I47:J47"/>
    <mergeCell ref="I48:J48"/>
    <mergeCell ref="G58:G59"/>
    <mergeCell ref="H58:H59"/>
    <mergeCell ref="K58:Q59"/>
    <mergeCell ref="B57:Q57"/>
    <mergeCell ref="H55:H56"/>
    <mergeCell ref="F54:H54"/>
    <mergeCell ref="K54:Q56"/>
    <mergeCell ref="F55:G56"/>
    <mergeCell ref="B49:C49"/>
    <mergeCell ref="K49:Q49"/>
    <mergeCell ref="B50:C50"/>
    <mergeCell ref="K50:Q50"/>
    <mergeCell ref="B51:C51"/>
    <mergeCell ref="K51:Q51"/>
    <mergeCell ref="I49:J49"/>
    <mergeCell ref="I50:J50"/>
    <mergeCell ref="I51:J51"/>
    <mergeCell ref="I52:J52"/>
    <mergeCell ref="I53:J53"/>
    <mergeCell ref="I54:J56"/>
    <mergeCell ref="I58:J59"/>
    <mergeCell ref="I61:J63"/>
    <mergeCell ref="B69:D69"/>
    <mergeCell ref="E69:Q69"/>
    <mergeCell ref="B59:C59"/>
    <mergeCell ref="B60:Q60"/>
    <mergeCell ref="B61:B63"/>
    <mergeCell ref="C61:H63"/>
    <mergeCell ref="K61:Q63"/>
    <mergeCell ref="C64:D64"/>
    <mergeCell ref="E64:Q64"/>
    <mergeCell ref="F65:I65"/>
    <mergeCell ref="C66:D66"/>
    <mergeCell ref="B68:D68"/>
    <mergeCell ref="E58:E59"/>
    <mergeCell ref="B52:C52"/>
    <mergeCell ref="K52:Q52"/>
    <mergeCell ref="B53:C53"/>
    <mergeCell ref="K53:Q53"/>
    <mergeCell ref="B58:C58"/>
    <mergeCell ref="F58:F5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7F2991E-AF82-4964-8661-C58929D4A819}">
          <x14:formula1>
            <xm:f>MasterData!$F$66:$F$72</xm:f>
          </x14:formula1>
          <xm:sqref>G28:G53 H55</xm:sqref>
        </x14:dataValidation>
        <x14:dataValidation type="list" allowBlank="1" showInputMessage="1" showErrorMessage="1" xr:uid="{8DE60BE1-0843-4E8B-B070-229392D55C6A}">
          <x14:formula1>
            <xm:f>MasterData!$M$66:$M$73</xm:f>
          </x14:formula1>
          <xm:sqref>C64:D64</xm:sqref>
        </x14:dataValidation>
        <x14:dataValidation type="list" allowBlank="1" showInputMessage="1" showErrorMessage="1" xr:uid="{ABFC783C-319F-4D37-AA03-CA26B1A19484}">
          <x14:formula1>
            <xm:f>MasterData!$B$66:$B$84</xm:f>
          </x14:formula1>
          <xm:sqref>D28:D56</xm:sqref>
        </x14:dataValidation>
        <x14:dataValidation type="list" allowBlank="1" showInputMessage="1" showErrorMessage="1" xr:uid="{2735754A-288C-4521-912A-51A833C4F604}">
          <x14:formula1>
            <xm:f>MasterData!$K$66:$K$78</xm:f>
          </x14:formula1>
          <xm:sqref>M16</xm:sqref>
        </x14:dataValidation>
        <x14:dataValidation type="list" allowBlank="1" showInputMessage="1" showErrorMessage="1" xr:uid="{4AF1A610-FF8D-4837-8CF8-DD58504067CE}">
          <x14:formula1>
            <xm:f>MasterData!$J$66:$J$97</xm:f>
          </x14:formula1>
          <xm:sqref>K16</xm:sqref>
        </x14:dataValidation>
        <x14:dataValidation type="list" allowBlank="1" showInputMessage="1" showErrorMessage="1" xr:uid="{4D7F04D9-0334-4DD1-88FD-0F077C381C67}">
          <x14:formula1>
            <xm:f>MasterData!$L$66:$L$103</xm:f>
          </x14:formula1>
          <xm:sqref>O16</xm:sqref>
        </x14:dataValidation>
        <x14:dataValidation type="list" allowBlank="1" showInputMessage="1" showErrorMessage="1" xr:uid="{ADC1883A-B2F9-4BBC-B34A-9F72EFD694D3}">
          <x14:formula1>
            <xm:f>MasterData!$N$66:$N$69</xm:f>
          </x14:formula1>
          <xm:sqref>F55</xm:sqref>
        </x14:dataValidation>
        <x14:dataValidation type="list" allowBlank="1" showInputMessage="1" showErrorMessage="1" xr:uid="{2B97ADAF-BDF6-486F-A120-34EFFB2AB2F7}">
          <x14:formula1>
            <xm:f>MasterData!$C$66:$C$114</xm:f>
          </x14:formula1>
          <xm:sqref>B28:C56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N114"/>
  <sheetViews>
    <sheetView tabSelected="1" topLeftCell="A51" zoomScale="85" zoomScaleNormal="85" workbookViewId="0">
      <selection activeCell="A58" sqref="A58:F61"/>
    </sheetView>
  </sheetViews>
  <sheetFormatPr defaultRowHeight="15.6" x14ac:dyDescent="0.3"/>
  <cols>
    <col min="1" max="1" width="18.6640625" style="1" customWidth="1"/>
    <col min="2" max="2" width="25.6640625" style="1" customWidth="1"/>
    <col min="3" max="3" width="61.6640625" style="1" customWidth="1"/>
    <col min="4" max="4" width="15.5546875" style="5" customWidth="1"/>
    <col min="5" max="5" width="15.5546875" style="6" customWidth="1"/>
    <col min="6" max="6" width="10.33203125" style="6" customWidth="1"/>
    <col min="7" max="8" width="10.33203125" style="11" customWidth="1"/>
    <col min="9" max="9" width="10.33203125" style="1" customWidth="1"/>
    <col min="10" max="11" width="10.33203125" style="11" customWidth="1"/>
    <col min="12" max="12" width="10.33203125" style="1" customWidth="1"/>
    <col min="13" max="13" width="25.88671875" style="1" customWidth="1"/>
    <col min="14" max="14" width="35.44140625" style="1" customWidth="1"/>
    <col min="15" max="16384" width="8.88671875" style="1"/>
  </cols>
  <sheetData>
    <row r="1" spans="1:12" ht="39.6" customHeight="1" x14ac:dyDescent="0.3">
      <c r="A1" s="297" t="s">
        <v>73</v>
      </c>
      <c r="B1" s="297"/>
      <c r="C1" s="297"/>
      <c r="D1" s="297"/>
      <c r="E1" s="297"/>
      <c r="F1" s="297"/>
    </row>
    <row r="2" spans="1:12" ht="25.05" customHeight="1" x14ac:dyDescent="0.3">
      <c r="A2" s="2" t="s">
        <v>0</v>
      </c>
      <c r="B2" s="2" t="s">
        <v>15</v>
      </c>
      <c r="C2" s="2" t="s">
        <v>1</v>
      </c>
      <c r="D2" s="2" t="s">
        <v>135</v>
      </c>
      <c r="E2" s="3" t="s">
        <v>2</v>
      </c>
      <c r="F2" s="4" t="s">
        <v>3</v>
      </c>
      <c r="G2" s="6"/>
      <c r="I2" s="11"/>
      <c r="J2" s="1"/>
      <c r="L2" s="11"/>
    </row>
    <row r="3" spans="1:12" ht="15.6" customHeight="1" x14ac:dyDescent="0.3">
      <c r="A3" s="28"/>
      <c r="B3" s="28"/>
      <c r="C3" s="28"/>
      <c r="D3" s="96"/>
      <c r="E3" s="29"/>
      <c r="F3" s="30"/>
      <c r="G3" s="6"/>
      <c r="I3" s="11"/>
      <c r="J3" s="1"/>
      <c r="L3" s="11"/>
    </row>
    <row r="4" spans="1:12" ht="15.6" customHeight="1" x14ac:dyDescent="0.3">
      <c r="A4" s="113" t="s">
        <v>4</v>
      </c>
      <c r="B4" s="113" t="s">
        <v>16</v>
      </c>
      <c r="C4" s="113" t="s">
        <v>5</v>
      </c>
      <c r="D4" s="114">
        <v>999312</v>
      </c>
      <c r="E4" s="115">
        <v>1200</v>
      </c>
      <c r="F4" s="116">
        <v>0</v>
      </c>
      <c r="G4" s="6"/>
      <c r="I4" s="11"/>
      <c r="J4" s="1"/>
      <c r="L4" s="11"/>
    </row>
    <row r="5" spans="1:12" ht="15.6" customHeight="1" x14ac:dyDescent="0.3">
      <c r="C5" s="117" t="s">
        <v>150</v>
      </c>
      <c r="D5" s="118">
        <v>999312</v>
      </c>
      <c r="E5" s="119">
        <v>1500</v>
      </c>
      <c r="F5" s="120">
        <v>0</v>
      </c>
      <c r="G5" s="6"/>
      <c r="I5" s="11"/>
      <c r="J5" s="1"/>
      <c r="L5" s="11"/>
    </row>
    <row r="6" spans="1:12" ht="15.6" customHeight="1" x14ac:dyDescent="0.3">
      <c r="A6" s="22"/>
      <c r="B6" s="22"/>
      <c r="C6" s="1" t="s">
        <v>142</v>
      </c>
      <c r="D6" s="97">
        <v>999312</v>
      </c>
      <c r="E6" s="5">
        <v>2000</v>
      </c>
      <c r="F6" s="31">
        <v>0</v>
      </c>
      <c r="G6" s="6"/>
      <c r="I6" s="11"/>
      <c r="J6" s="1"/>
      <c r="L6" s="11"/>
    </row>
    <row r="7" spans="1:12" ht="15.6" customHeight="1" x14ac:dyDescent="0.3">
      <c r="A7" s="32"/>
      <c r="B7" s="32"/>
      <c r="C7" s="32"/>
      <c r="D7" s="98"/>
      <c r="E7" s="33"/>
      <c r="F7" s="34"/>
      <c r="G7" s="6"/>
      <c r="I7" s="11"/>
      <c r="J7" s="1"/>
      <c r="L7" s="11"/>
    </row>
    <row r="8" spans="1:12" ht="15.6" customHeight="1" x14ac:dyDescent="0.3">
      <c r="A8" s="19" t="s">
        <v>6</v>
      </c>
      <c r="B8" s="19" t="s">
        <v>17</v>
      </c>
      <c r="C8" s="19" t="s">
        <v>18</v>
      </c>
      <c r="D8" s="99">
        <v>999314</v>
      </c>
      <c r="E8" s="20">
        <v>2700</v>
      </c>
      <c r="F8" s="21">
        <v>0</v>
      </c>
      <c r="G8" s="6"/>
      <c r="I8" s="11"/>
      <c r="J8" s="1"/>
      <c r="L8" s="11"/>
    </row>
    <row r="9" spans="1:12" ht="15.6" customHeight="1" x14ac:dyDescent="0.3">
      <c r="A9" s="22"/>
      <c r="B9" s="22"/>
      <c r="C9" s="22" t="s">
        <v>19</v>
      </c>
      <c r="D9" s="99">
        <v>999314</v>
      </c>
      <c r="E9" s="23">
        <v>2200</v>
      </c>
      <c r="F9" s="24">
        <v>0</v>
      </c>
      <c r="G9" s="6"/>
      <c r="I9" s="11"/>
      <c r="J9" s="1"/>
      <c r="L9" s="11"/>
    </row>
    <row r="10" spans="1:12" ht="15.6" customHeight="1" x14ac:dyDescent="0.3">
      <c r="A10" s="22"/>
      <c r="B10" s="22"/>
      <c r="C10" s="22" t="s">
        <v>43</v>
      </c>
      <c r="D10" s="99">
        <v>999314</v>
      </c>
      <c r="E10" s="23">
        <v>1800</v>
      </c>
      <c r="F10" s="24">
        <v>0</v>
      </c>
      <c r="G10" s="6"/>
      <c r="I10" s="11"/>
      <c r="J10" s="1"/>
      <c r="L10" s="11"/>
    </row>
    <row r="11" spans="1:12" ht="15.6" customHeight="1" x14ac:dyDescent="0.3">
      <c r="A11" s="22"/>
      <c r="B11" s="22"/>
      <c r="C11" s="22" t="s">
        <v>44</v>
      </c>
      <c r="D11" s="99">
        <v>999314</v>
      </c>
      <c r="E11" s="23">
        <v>1500</v>
      </c>
      <c r="F11" s="24">
        <v>0</v>
      </c>
      <c r="G11" s="6"/>
      <c r="I11" s="11"/>
      <c r="J11" s="1"/>
      <c r="L11" s="11"/>
    </row>
    <row r="12" spans="1:12" ht="15.6" customHeight="1" x14ac:dyDescent="0.3">
      <c r="A12" s="22"/>
      <c r="B12" s="22"/>
      <c r="C12" s="22" t="s">
        <v>45</v>
      </c>
      <c r="D12" s="99">
        <v>999314</v>
      </c>
      <c r="E12" s="23">
        <v>4500</v>
      </c>
      <c r="F12" s="24">
        <v>0</v>
      </c>
      <c r="G12" s="6"/>
      <c r="I12" s="11"/>
      <c r="J12" s="1"/>
      <c r="L12" s="11"/>
    </row>
    <row r="13" spans="1:12" ht="15.6" customHeight="1" x14ac:dyDescent="0.3">
      <c r="A13" s="25"/>
      <c r="B13" s="25"/>
      <c r="C13" s="25" t="s">
        <v>46</v>
      </c>
      <c r="D13" s="99">
        <v>999314</v>
      </c>
      <c r="E13" s="26">
        <v>1500</v>
      </c>
      <c r="F13" s="27">
        <v>0</v>
      </c>
      <c r="G13" s="6"/>
      <c r="I13" s="11"/>
      <c r="J13" s="1"/>
      <c r="L13" s="11"/>
    </row>
    <row r="14" spans="1:12" ht="15.6" customHeight="1" x14ac:dyDescent="0.3">
      <c r="A14" s="22"/>
      <c r="B14" s="22"/>
      <c r="C14" s="22" t="s">
        <v>131</v>
      </c>
      <c r="D14" s="99">
        <v>999314</v>
      </c>
      <c r="E14" s="23">
        <v>2200</v>
      </c>
      <c r="F14" s="24">
        <v>0</v>
      </c>
      <c r="G14" s="6"/>
      <c r="I14" s="11"/>
      <c r="J14" s="1"/>
      <c r="L14" s="11"/>
    </row>
    <row r="15" spans="1:12" ht="15.6" customHeight="1" x14ac:dyDescent="0.3">
      <c r="C15" s="1" t="s">
        <v>132</v>
      </c>
      <c r="D15" s="99">
        <v>999314</v>
      </c>
      <c r="E15" s="5">
        <v>1800</v>
      </c>
      <c r="F15" s="31">
        <v>0</v>
      </c>
      <c r="G15" s="6"/>
      <c r="I15" s="11"/>
      <c r="J15" s="1"/>
      <c r="L15" s="11"/>
    </row>
    <row r="16" spans="1:12" ht="15.6" customHeight="1" x14ac:dyDescent="0.3">
      <c r="A16" s="32"/>
      <c r="B16" s="32"/>
      <c r="C16" s="32"/>
      <c r="D16" s="98"/>
      <c r="E16" s="33"/>
      <c r="F16" s="34"/>
      <c r="G16" s="6"/>
      <c r="I16" s="11"/>
      <c r="J16" s="1"/>
      <c r="L16" s="11"/>
    </row>
    <row r="17" spans="1:12" ht="15.6" customHeight="1" x14ac:dyDescent="0.3">
      <c r="A17" s="19"/>
      <c r="B17" s="22" t="s">
        <v>24</v>
      </c>
      <c r="C17" s="19" t="s">
        <v>47</v>
      </c>
      <c r="D17" s="99">
        <v>999314</v>
      </c>
      <c r="E17" s="20">
        <v>2000</v>
      </c>
      <c r="F17" s="21">
        <v>0</v>
      </c>
      <c r="G17" s="6"/>
      <c r="I17" s="11"/>
      <c r="J17" s="1"/>
      <c r="L17" s="11"/>
    </row>
    <row r="18" spans="1:12" ht="15.6" customHeight="1" x14ac:dyDescent="0.3">
      <c r="A18" s="22"/>
      <c r="B18" s="22" t="s">
        <v>25</v>
      </c>
      <c r="C18" s="22" t="s">
        <v>48</v>
      </c>
      <c r="D18" s="99">
        <v>999314</v>
      </c>
      <c r="E18" s="23">
        <v>1800</v>
      </c>
      <c r="F18" s="24">
        <v>0</v>
      </c>
      <c r="G18" s="6"/>
      <c r="I18" s="11"/>
      <c r="J18" s="1"/>
      <c r="L18" s="11"/>
    </row>
    <row r="19" spans="1:12" ht="15.6" customHeight="1" x14ac:dyDescent="0.3">
      <c r="A19" s="22"/>
      <c r="B19" s="22" t="s">
        <v>26</v>
      </c>
      <c r="C19" s="22" t="s">
        <v>49</v>
      </c>
      <c r="D19" s="99">
        <v>999314</v>
      </c>
      <c r="E19" s="23">
        <v>1500</v>
      </c>
      <c r="F19" s="24">
        <v>0</v>
      </c>
      <c r="G19" s="6"/>
      <c r="I19" s="11"/>
      <c r="J19" s="1"/>
      <c r="L19" s="11"/>
    </row>
    <row r="20" spans="1:12" ht="15.6" customHeight="1" x14ac:dyDescent="0.3">
      <c r="A20" s="22"/>
      <c r="B20" s="22" t="s">
        <v>27</v>
      </c>
      <c r="C20" s="22" t="s">
        <v>50</v>
      </c>
      <c r="D20" s="99">
        <v>999314</v>
      </c>
      <c r="E20" s="23">
        <v>1000</v>
      </c>
      <c r="F20" s="24">
        <v>0</v>
      </c>
      <c r="G20" s="6"/>
      <c r="I20" s="11"/>
      <c r="J20" s="1"/>
      <c r="L20" s="11"/>
    </row>
    <row r="21" spans="1:12" ht="15.6" customHeight="1" x14ac:dyDescent="0.3">
      <c r="A21" s="22"/>
      <c r="B21" s="25" t="s">
        <v>28</v>
      </c>
      <c r="C21" s="22" t="s">
        <v>51</v>
      </c>
      <c r="D21" s="99">
        <v>999314</v>
      </c>
      <c r="E21" s="23">
        <v>3500</v>
      </c>
      <c r="F21" s="24">
        <v>0</v>
      </c>
      <c r="G21" s="6"/>
      <c r="I21" s="11"/>
      <c r="J21" s="1"/>
      <c r="L21" s="11"/>
    </row>
    <row r="22" spans="1:12" ht="15.6" customHeight="1" x14ac:dyDescent="0.3">
      <c r="A22" s="22"/>
      <c r="B22" s="22"/>
      <c r="C22" s="22" t="s">
        <v>52</v>
      </c>
      <c r="D22" s="99">
        <v>999314</v>
      </c>
      <c r="E22" s="23">
        <v>1200</v>
      </c>
      <c r="F22" s="24">
        <v>0</v>
      </c>
      <c r="G22" s="6"/>
      <c r="I22" s="11"/>
      <c r="J22" s="1"/>
      <c r="L22" s="11"/>
    </row>
    <row r="23" spans="1:12" ht="15.6" customHeight="1" x14ac:dyDescent="0.3">
      <c r="A23" s="22"/>
      <c r="B23" s="22"/>
      <c r="C23" s="22" t="s">
        <v>133</v>
      </c>
      <c r="D23" s="99">
        <v>999314</v>
      </c>
      <c r="E23" s="23">
        <v>1800</v>
      </c>
      <c r="F23" s="24">
        <v>0</v>
      </c>
      <c r="G23" s="6"/>
      <c r="I23" s="11"/>
      <c r="J23" s="1"/>
      <c r="L23" s="11"/>
    </row>
    <row r="24" spans="1:12" ht="15.6" customHeight="1" x14ac:dyDescent="0.3">
      <c r="A24" s="22"/>
      <c r="B24" s="22"/>
      <c r="C24" s="22" t="s">
        <v>134</v>
      </c>
      <c r="D24" s="99">
        <v>999314</v>
      </c>
      <c r="E24" s="23">
        <v>1500</v>
      </c>
      <c r="F24" s="24">
        <v>0</v>
      </c>
      <c r="G24" s="6"/>
      <c r="I24" s="11"/>
      <c r="J24" s="1"/>
      <c r="L24" s="11"/>
    </row>
    <row r="25" spans="1:12" ht="15.6" customHeight="1" x14ac:dyDescent="0.3">
      <c r="A25" s="22"/>
      <c r="B25" s="22"/>
      <c r="C25" s="22" t="s">
        <v>23</v>
      </c>
      <c r="D25" s="99">
        <v>999314</v>
      </c>
      <c r="E25" s="23">
        <v>600</v>
      </c>
      <c r="F25" s="24">
        <v>0</v>
      </c>
      <c r="G25" s="6"/>
      <c r="I25" s="11"/>
      <c r="J25" s="1"/>
      <c r="L25" s="11"/>
    </row>
    <row r="26" spans="1:12" ht="15.6" customHeight="1" x14ac:dyDescent="0.3">
      <c r="A26" s="22"/>
      <c r="B26" s="22"/>
      <c r="C26" s="22" t="s">
        <v>20</v>
      </c>
      <c r="D26" s="99">
        <v>999314</v>
      </c>
      <c r="E26" s="23">
        <v>1500</v>
      </c>
      <c r="F26" s="24">
        <v>0</v>
      </c>
      <c r="G26" s="6"/>
      <c r="I26" s="11"/>
      <c r="J26" s="1"/>
      <c r="L26" s="11"/>
    </row>
    <row r="27" spans="1:12" ht="15.6" customHeight="1" x14ac:dyDescent="0.3">
      <c r="A27" s="22"/>
      <c r="B27" s="22"/>
      <c r="C27" s="22" t="s">
        <v>21</v>
      </c>
      <c r="D27" s="99">
        <v>999314</v>
      </c>
      <c r="E27" s="23">
        <v>1000</v>
      </c>
      <c r="F27" s="24">
        <v>0</v>
      </c>
      <c r="G27" s="6"/>
      <c r="I27" s="11"/>
      <c r="J27" s="1"/>
      <c r="L27" s="11"/>
    </row>
    <row r="28" spans="1:12" ht="15.6" customHeight="1" x14ac:dyDescent="0.3">
      <c r="A28" s="25"/>
      <c r="B28" s="25"/>
      <c r="C28" s="25" t="s">
        <v>22</v>
      </c>
      <c r="D28" s="99">
        <v>999314</v>
      </c>
      <c r="E28" s="26">
        <v>1500</v>
      </c>
      <c r="F28" s="27">
        <v>0</v>
      </c>
      <c r="G28" s="6"/>
      <c r="I28" s="11"/>
      <c r="J28" s="1"/>
      <c r="L28" s="11"/>
    </row>
    <row r="29" spans="1:12" ht="15.6" customHeight="1" x14ac:dyDescent="0.3">
      <c r="A29" s="32"/>
      <c r="B29" s="32"/>
      <c r="C29" s="32"/>
      <c r="D29" s="98"/>
      <c r="E29" s="33"/>
      <c r="F29" s="34"/>
      <c r="G29" s="6"/>
      <c r="I29" s="11"/>
      <c r="J29" s="1"/>
      <c r="L29" s="11"/>
    </row>
    <row r="30" spans="1:12" ht="15.6" customHeight="1" x14ac:dyDescent="0.3">
      <c r="A30" s="19" t="s">
        <v>7</v>
      </c>
      <c r="B30" s="19" t="s">
        <v>29</v>
      </c>
      <c r="C30" s="19" t="s">
        <v>32</v>
      </c>
      <c r="D30" s="99">
        <v>94021090</v>
      </c>
      <c r="E30" s="20">
        <v>1450</v>
      </c>
      <c r="F30" s="21">
        <v>0.18</v>
      </c>
      <c r="G30" s="6"/>
      <c r="I30" s="11"/>
      <c r="J30" s="1"/>
      <c r="L30" s="11"/>
    </row>
    <row r="31" spans="1:12" ht="15.6" customHeight="1" x14ac:dyDescent="0.3">
      <c r="A31" s="22"/>
      <c r="B31" s="22" t="s">
        <v>30</v>
      </c>
      <c r="C31" s="22" t="s">
        <v>33</v>
      </c>
      <c r="D31" s="99">
        <v>94021090</v>
      </c>
      <c r="E31" s="23">
        <v>2200</v>
      </c>
      <c r="F31" s="24">
        <v>0.18</v>
      </c>
      <c r="G31" s="6"/>
      <c r="I31" s="11"/>
      <c r="J31" s="1"/>
      <c r="L31" s="11"/>
    </row>
    <row r="32" spans="1:12" ht="15.6" customHeight="1" x14ac:dyDescent="0.3">
      <c r="A32" s="22"/>
      <c r="B32" s="22" t="s">
        <v>31</v>
      </c>
      <c r="C32" s="22" t="s">
        <v>34</v>
      </c>
      <c r="D32" s="99">
        <v>94021090</v>
      </c>
      <c r="E32" s="23">
        <v>3300</v>
      </c>
      <c r="F32" s="24">
        <v>0.18</v>
      </c>
      <c r="G32" s="6"/>
      <c r="I32" s="11"/>
      <c r="J32" s="1"/>
      <c r="L32" s="11"/>
    </row>
    <row r="33" spans="1:12" ht="15.6" customHeight="1" x14ac:dyDescent="0.3">
      <c r="A33" s="22"/>
      <c r="B33" s="22"/>
      <c r="C33" s="22" t="s">
        <v>35</v>
      </c>
      <c r="D33" s="99">
        <v>94021090</v>
      </c>
      <c r="E33" s="23">
        <v>2420</v>
      </c>
      <c r="F33" s="24">
        <v>0.18</v>
      </c>
      <c r="G33" s="6"/>
      <c r="I33" s="11"/>
      <c r="J33" s="1"/>
      <c r="L33" s="11"/>
    </row>
    <row r="34" spans="1:12" ht="15.6" customHeight="1" x14ac:dyDescent="0.3">
      <c r="A34" s="22"/>
      <c r="B34" s="22"/>
      <c r="C34" s="22" t="s">
        <v>36</v>
      </c>
      <c r="D34" s="99">
        <v>94021090</v>
      </c>
      <c r="E34" s="23">
        <v>3300</v>
      </c>
      <c r="F34" s="24">
        <v>0.18</v>
      </c>
      <c r="G34" s="6"/>
      <c r="I34" s="11"/>
      <c r="J34" s="1"/>
      <c r="L34" s="11"/>
    </row>
    <row r="35" spans="1:12" ht="15.6" customHeight="1" x14ac:dyDescent="0.3">
      <c r="A35" s="25"/>
      <c r="B35" s="25"/>
      <c r="C35" s="25" t="s">
        <v>37</v>
      </c>
      <c r="D35" s="99">
        <v>94021090</v>
      </c>
      <c r="E35" s="26">
        <v>4400</v>
      </c>
      <c r="F35" s="27">
        <v>0.18</v>
      </c>
      <c r="G35" s="6"/>
      <c r="I35" s="11"/>
      <c r="J35" s="1"/>
      <c r="L35" s="11"/>
    </row>
    <row r="36" spans="1:12" ht="15.6" customHeight="1" x14ac:dyDescent="0.3">
      <c r="A36" s="32"/>
      <c r="B36" s="32"/>
      <c r="C36" s="32"/>
      <c r="D36" s="98"/>
      <c r="E36" s="33"/>
      <c r="F36" s="34"/>
      <c r="G36" s="6"/>
      <c r="I36" s="11"/>
      <c r="J36" s="1"/>
      <c r="L36" s="11"/>
    </row>
    <row r="37" spans="1:12" ht="15.6" customHeight="1" x14ac:dyDescent="0.3">
      <c r="A37" s="1" t="s">
        <v>8</v>
      </c>
      <c r="B37" s="1" t="s">
        <v>38</v>
      </c>
      <c r="C37" s="1" t="s">
        <v>9</v>
      </c>
      <c r="D37" s="97">
        <v>999723</v>
      </c>
      <c r="E37" s="5">
        <v>3200</v>
      </c>
      <c r="F37" s="31">
        <v>0.05</v>
      </c>
      <c r="G37" s="6"/>
      <c r="I37" s="11"/>
      <c r="J37" s="1"/>
      <c r="L37" s="11"/>
    </row>
    <row r="38" spans="1:12" ht="15.6" customHeight="1" x14ac:dyDescent="0.3">
      <c r="A38" s="32"/>
      <c r="B38" s="32"/>
      <c r="C38" s="32"/>
      <c r="D38" s="98"/>
      <c r="E38" s="33"/>
      <c r="F38" s="34"/>
      <c r="G38" s="6"/>
      <c r="I38" s="11"/>
      <c r="J38" s="1"/>
      <c r="L38" s="11"/>
    </row>
    <row r="39" spans="1:12" ht="15.6" customHeight="1" x14ac:dyDescent="0.3">
      <c r="A39" s="19"/>
      <c r="B39" s="19" t="s">
        <v>39</v>
      </c>
      <c r="C39" s="19" t="s">
        <v>40</v>
      </c>
      <c r="D39" s="114">
        <v>999723</v>
      </c>
      <c r="E39" s="20">
        <v>1900</v>
      </c>
      <c r="F39" s="21">
        <v>0.05</v>
      </c>
      <c r="G39" s="6"/>
      <c r="I39" s="11"/>
      <c r="J39" s="1"/>
      <c r="L39" s="11"/>
    </row>
    <row r="40" spans="1:12" ht="15.6" customHeight="1" x14ac:dyDescent="0.3">
      <c r="A40" s="22"/>
      <c r="B40" s="22"/>
      <c r="C40" s="22" t="s">
        <v>41</v>
      </c>
      <c r="D40" s="118">
        <v>999723</v>
      </c>
      <c r="E40" s="23">
        <v>2200</v>
      </c>
      <c r="F40" s="24">
        <v>0.05</v>
      </c>
      <c r="G40" s="6"/>
      <c r="I40" s="11"/>
      <c r="J40" s="1"/>
      <c r="L40" s="11"/>
    </row>
    <row r="41" spans="1:12" ht="15.6" customHeight="1" x14ac:dyDescent="0.3">
      <c r="A41" s="22"/>
      <c r="B41" s="22"/>
      <c r="C41" s="22" t="s">
        <v>42</v>
      </c>
      <c r="D41" s="118">
        <v>999723</v>
      </c>
      <c r="E41" s="23">
        <v>2500</v>
      </c>
      <c r="F41" s="24">
        <v>0.05</v>
      </c>
      <c r="G41" s="6"/>
      <c r="I41" s="11"/>
      <c r="J41" s="1"/>
      <c r="L41" s="11"/>
    </row>
    <row r="42" spans="1:12" ht="15.6" customHeight="1" x14ac:dyDescent="0.3">
      <c r="A42" s="22"/>
      <c r="B42" s="22"/>
      <c r="C42" s="22" t="s">
        <v>54</v>
      </c>
      <c r="D42" s="118">
        <v>999723</v>
      </c>
      <c r="E42" s="23">
        <v>1750</v>
      </c>
      <c r="F42" s="24">
        <v>0.05</v>
      </c>
      <c r="G42" s="6"/>
      <c r="I42" s="11"/>
      <c r="J42" s="1"/>
      <c r="L42" s="11"/>
    </row>
    <row r="43" spans="1:12" ht="15.6" customHeight="1" x14ac:dyDescent="0.3">
      <c r="A43" s="25"/>
      <c r="B43" s="25"/>
      <c r="C43" s="25" t="s">
        <v>53</v>
      </c>
      <c r="D43" s="121">
        <v>999723</v>
      </c>
      <c r="E43" s="26">
        <v>1500</v>
      </c>
      <c r="F43" s="27">
        <v>0.05</v>
      </c>
      <c r="G43" s="6"/>
      <c r="I43" s="11"/>
      <c r="J43" s="1"/>
      <c r="L43" s="11"/>
    </row>
    <row r="44" spans="1:12" ht="15.6" customHeight="1" x14ac:dyDescent="0.3">
      <c r="A44" s="32"/>
      <c r="B44" s="32"/>
      <c r="C44" s="32"/>
      <c r="D44" s="98"/>
      <c r="E44" s="33"/>
      <c r="F44" s="34"/>
      <c r="G44" s="6"/>
      <c r="I44" s="11"/>
      <c r="J44" s="1"/>
      <c r="L44" s="11"/>
    </row>
    <row r="45" spans="1:12" ht="15.6" customHeight="1" x14ac:dyDescent="0.3">
      <c r="A45" s="19" t="s">
        <v>10</v>
      </c>
      <c r="B45" s="19" t="s">
        <v>55</v>
      </c>
      <c r="C45" s="19" t="s">
        <v>56</v>
      </c>
      <c r="D45" s="99">
        <v>999319</v>
      </c>
      <c r="E45" s="20">
        <v>2600</v>
      </c>
      <c r="F45" s="21">
        <v>0.18</v>
      </c>
      <c r="G45" s="6"/>
      <c r="I45" s="11"/>
      <c r="J45" s="1"/>
      <c r="L45" s="11"/>
    </row>
    <row r="46" spans="1:12" ht="15.6" customHeight="1" x14ac:dyDescent="0.3">
      <c r="A46" s="25"/>
      <c r="B46" s="25"/>
      <c r="C46" s="25" t="s">
        <v>57</v>
      </c>
      <c r="D46" s="100">
        <v>999319</v>
      </c>
      <c r="E46" s="26">
        <v>3500</v>
      </c>
      <c r="F46" s="27">
        <v>0.18</v>
      </c>
      <c r="G46" s="6"/>
      <c r="I46" s="11"/>
      <c r="J46" s="1"/>
      <c r="L46" s="11"/>
    </row>
    <row r="47" spans="1:12" ht="15.6" customHeight="1" x14ac:dyDescent="0.3">
      <c r="A47" s="32"/>
      <c r="B47" s="32"/>
      <c r="C47" s="32"/>
      <c r="D47" s="98"/>
      <c r="E47" s="33"/>
      <c r="F47" s="34"/>
      <c r="G47" s="6"/>
      <c r="I47" s="11"/>
      <c r="J47" s="1"/>
      <c r="L47" s="11"/>
    </row>
    <row r="48" spans="1:12" ht="15.6" customHeight="1" x14ac:dyDescent="0.3">
      <c r="B48" s="1" t="s">
        <v>58</v>
      </c>
      <c r="C48" s="1" t="s">
        <v>59</v>
      </c>
      <c r="D48" s="97">
        <v>999319</v>
      </c>
      <c r="E48" s="5">
        <v>3000</v>
      </c>
      <c r="F48" s="31">
        <v>0.18</v>
      </c>
      <c r="G48" s="6"/>
      <c r="I48" s="11"/>
      <c r="J48" s="1"/>
      <c r="L48" s="11"/>
    </row>
    <row r="49" spans="1:14" ht="15.6" customHeight="1" x14ac:dyDescent="0.3">
      <c r="A49" s="32"/>
      <c r="B49" s="32"/>
      <c r="C49" s="32"/>
      <c r="D49" s="98"/>
      <c r="E49" s="33"/>
      <c r="F49" s="34"/>
      <c r="G49" s="6"/>
      <c r="I49" s="11"/>
      <c r="J49" s="1"/>
      <c r="L49" s="11"/>
    </row>
    <row r="50" spans="1:14" ht="15.6" customHeight="1" x14ac:dyDescent="0.3">
      <c r="A50" s="19" t="s">
        <v>11</v>
      </c>
      <c r="B50" s="19" t="s">
        <v>60</v>
      </c>
      <c r="C50" s="19" t="s">
        <v>61</v>
      </c>
      <c r="D50" s="99">
        <v>999319</v>
      </c>
      <c r="E50" s="20">
        <v>3500</v>
      </c>
      <c r="F50" s="21">
        <v>0.18</v>
      </c>
      <c r="G50" s="6"/>
      <c r="I50" s="11"/>
      <c r="J50" s="1"/>
      <c r="L50" s="11"/>
    </row>
    <row r="51" spans="1:14" ht="15.6" customHeight="1" x14ac:dyDescent="0.3">
      <c r="A51" s="25"/>
      <c r="B51" s="25"/>
      <c r="C51" s="25" t="s">
        <v>62</v>
      </c>
      <c r="D51" s="100">
        <v>999319</v>
      </c>
      <c r="E51" s="26">
        <v>2800</v>
      </c>
      <c r="F51" s="27">
        <v>0.18</v>
      </c>
      <c r="G51" s="6"/>
      <c r="I51" s="11"/>
      <c r="J51" s="1"/>
      <c r="L51" s="11"/>
    </row>
    <row r="52" spans="1:14" ht="15.6" customHeight="1" x14ac:dyDescent="0.3">
      <c r="A52" s="32"/>
      <c r="B52" s="32"/>
      <c r="C52" s="32"/>
      <c r="D52" s="98"/>
      <c r="E52" s="33"/>
      <c r="F52" s="34"/>
      <c r="G52" s="6"/>
      <c r="I52" s="11"/>
      <c r="J52" s="1"/>
      <c r="L52" s="11"/>
    </row>
    <row r="53" spans="1:14" ht="15.6" customHeight="1" x14ac:dyDescent="0.3">
      <c r="A53" s="19"/>
      <c r="B53" s="19" t="s">
        <v>63</v>
      </c>
      <c r="C53" s="19" t="s">
        <v>12</v>
      </c>
      <c r="D53" s="99">
        <v>999319</v>
      </c>
      <c r="E53" s="20">
        <v>2800</v>
      </c>
      <c r="F53" s="21">
        <v>0.18</v>
      </c>
      <c r="G53" s="6"/>
      <c r="I53" s="11"/>
      <c r="J53" s="1"/>
      <c r="L53" s="11"/>
    </row>
    <row r="54" spans="1:14" ht="15.6" customHeight="1" x14ac:dyDescent="0.3">
      <c r="A54" s="25"/>
      <c r="B54" s="25"/>
      <c r="C54" s="25" t="s">
        <v>64</v>
      </c>
      <c r="D54" s="100">
        <v>999319</v>
      </c>
      <c r="E54" s="26">
        <v>2200</v>
      </c>
      <c r="F54" s="27">
        <v>0.18</v>
      </c>
      <c r="G54" s="6"/>
      <c r="I54" s="11"/>
      <c r="J54" s="1"/>
      <c r="L54" s="11"/>
    </row>
    <row r="55" spans="1:14" ht="15.6" customHeight="1" x14ac:dyDescent="0.3">
      <c r="A55" s="32"/>
      <c r="B55" s="32"/>
      <c r="C55" s="32"/>
      <c r="D55" s="98"/>
      <c r="E55" s="33"/>
      <c r="F55" s="34"/>
      <c r="G55" s="6"/>
      <c r="I55" s="11"/>
      <c r="J55" s="1"/>
      <c r="L55" s="11"/>
    </row>
    <row r="56" spans="1:14" ht="15.6" customHeight="1" x14ac:dyDescent="0.3">
      <c r="A56" s="113" t="s">
        <v>13</v>
      </c>
      <c r="B56" s="113" t="s">
        <v>65</v>
      </c>
      <c r="C56" s="113" t="s">
        <v>14</v>
      </c>
      <c r="D56" s="114">
        <v>95069190</v>
      </c>
      <c r="E56" s="115">
        <v>3000</v>
      </c>
      <c r="F56" s="116">
        <v>0.18</v>
      </c>
      <c r="G56" s="6"/>
      <c r="I56" s="11"/>
      <c r="J56" s="1"/>
      <c r="L56" s="11"/>
    </row>
    <row r="57" spans="1:14" ht="15.6" customHeight="1" x14ac:dyDescent="0.3">
      <c r="C57" s="1" t="s">
        <v>151</v>
      </c>
      <c r="D57" s="145">
        <v>998733</v>
      </c>
      <c r="E57" s="5">
        <v>322.02999999999997</v>
      </c>
      <c r="F57" s="31">
        <v>0.18</v>
      </c>
      <c r="G57" s="6"/>
      <c r="I57" s="11"/>
      <c r="J57" s="1"/>
      <c r="L57" s="11"/>
    </row>
    <row r="58" spans="1:14" ht="15.6" customHeight="1" x14ac:dyDescent="0.3">
      <c r="A58" s="117"/>
      <c r="B58" s="117"/>
      <c r="C58" s="117" t="s">
        <v>152</v>
      </c>
      <c r="D58" s="118">
        <v>998733</v>
      </c>
      <c r="E58" s="119">
        <v>4237.29</v>
      </c>
      <c r="F58" s="120">
        <v>0.18</v>
      </c>
      <c r="G58" s="6"/>
      <c r="I58" s="11"/>
      <c r="J58" s="1"/>
      <c r="L58" s="11"/>
    </row>
    <row r="59" spans="1:14" ht="15.6" customHeight="1" x14ac:dyDescent="0.3">
      <c r="A59" s="117"/>
      <c r="B59" s="117" t="s">
        <v>156</v>
      </c>
      <c r="C59" s="117" t="s">
        <v>154</v>
      </c>
      <c r="D59" s="118">
        <v>998733</v>
      </c>
      <c r="E59" s="119">
        <v>2700</v>
      </c>
      <c r="F59" s="120">
        <v>0.18</v>
      </c>
      <c r="G59" s="6"/>
      <c r="I59" s="11"/>
      <c r="J59" s="1"/>
      <c r="L59" s="11"/>
    </row>
    <row r="60" spans="1:14" ht="15.6" customHeight="1" x14ac:dyDescent="0.3">
      <c r="C60" s="117" t="s">
        <v>155</v>
      </c>
      <c r="D60" s="118">
        <v>998733</v>
      </c>
      <c r="E60" s="119">
        <v>2250</v>
      </c>
      <c r="F60" s="120">
        <v>0.18</v>
      </c>
      <c r="G60" s="6"/>
      <c r="I60" s="11"/>
      <c r="J60" s="1"/>
      <c r="L60" s="11"/>
    </row>
    <row r="61" spans="1:14" ht="15.6" customHeight="1" x14ac:dyDescent="0.3">
      <c r="A61" s="25"/>
      <c r="B61" s="25"/>
      <c r="C61" s="1" t="s">
        <v>157</v>
      </c>
      <c r="D61" s="97">
        <v>998733</v>
      </c>
      <c r="E61" s="5">
        <v>1875</v>
      </c>
      <c r="F61" s="31">
        <v>0.18</v>
      </c>
      <c r="G61" s="6"/>
      <c r="I61" s="11"/>
      <c r="J61" s="1"/>
      <c r="L61" s="11"/>
    </row>
    <row r="63" spans="1:14" ht="16.2" thickBot="1" x14ac:dyDescent="0.35"/>
    <row r="64" spans="1:14" ht="46.8" customHeight="1" thickBot="1" x14ac:dyDescent="0.35">
      <c r="A64" s="298" t="s">
        <v>74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300"/>
    </row>
    <row r="65" spans="1:14" x14ac:dyDescent="0.3">
      <c r="A65" s="109" t="s">
        <v>0</v>
      </c>
      <c r="B65" s="109" t="s">
        <v>15</v>
      </c>
      <c r="C65" s="109" t="s">
        <v>1</v>
      </c>
      <c r="D65" s="110" t="s">
        <v>2</v>
      </c>
      <c r="E65" s="111" t="s">
        <v>3</v>
      </c>
      <c r="F65" s="111" t="s">
        <v>66</v>
      </c>
      <c r="G65" s="112" t="s">
        <v>67</v>
      </c>
      <c r="H65" s="112" t="s">
        <v>72</v>
      </c>
      <c r="I65" s="109" t="s">
        <v>75</v>
      </c>
      <c r="J65" s="112" t="s">
        <v>68</v>
      </c>
      <c r="K65" s="112" t="s">
        <v>69</v>
      </c>
      <c r="L65" s="109" t="s">
        <v>70</v>
      </c>
      <c r="M65" s="109" t="s">
        <v>71</v>
      </c>
      <c r="N65" s="109" t="s">
        <v>136</v>
      </c>
    </row>
    <row r="66" spans="1:14" x14ac:dyDescent="0.3">
      <c r="A66" s="12"/>
      <c r="B66" s="12"/>
      <c r="C66" s="12"/>
      <c r="D66" s="13"/>
      <c r="E66" s="14"/>
      <c r="F66" s="14"/>
      <c r="G66" s="15"/>
      <c r="H66" s="15"/>
      <c r="I66" s="12"/>
      <c r="J66" s="15"/>
      <c r="K66" s="15"/>
      <c r="L66" s="12"/>
      <c r="M66" s="12"/>
      <c r="N66" s="12"/>
    </row>
    <row r="67" spans="1:14" x14ac:dyDescent="0.3">
      <c r="A67" s="7" t="s">
        <v>4</v>
      </c>
      <c r="B67" s="7" t="s">
        <v>143</v>
      </c>
      <c r="C67" s="122" t="s">
        <v>5</v>
      </c>
      <c r="D67" s="123">
        <v>1200</v>
      </c>
      <c r="E67" s="124">
        <v>0</v>
      </c>
      <c r="F67" s="16">
        <v>0.05</v>
      </c>
      <c r="G67" s="17">
        <v>0</v>
      </c>
      <c r="H67" s="17">
        <v>0</v>
      </c>
      <c r="I67" s="7" t="s">
        <v>76</v>
      </c>
      <c r="J67" s="17">
        <v>1</v>
      </c>
      <c r="K67" s="17">
        <v>1</v>
      </c>
      <c r="L67" s="7">
        <v>2024</v>
      </c>
      <c r="M67" s="7" t="s">
        <v>78</v>
      </c>
      <c r="N67" s="7" t="s">
        <v>138</v>
      </c>
    </row>
    <row r="68" spans="1:14" x14ac:dyDescent="0.3">
      <c r="A68" s="7" t="s">
        <v>6</v>
      </c>
      <c r="B68" s="7" t="s">
        <v>144</v>
      </c>
      <c r="C68" s="122" t="s">
        <v>150</v>
      </c>
      <c r="D68" s="123">
        <v>1500</v>
      </c>
      <c r="E68" s="124">
        <v>0</v>
      </c>
      <c r="F68" s="16">
        <v>0.1</v>
      </c>
      <c r="G68" s="17">
        <v>1</v>
      </c>
      <c r="H68" s="17">
        <v>15</v>
      </c>
      <c r="I68" s="7" t="s">
        <v>77</v>
      </c>
      <c r="J68" s="17">
        <v>2</v>
      </c>
      <c r="K68" s="17">
        <v>2</v>
      </c>
      <c r="L68" s="7">
        <v>2025</v>
      </c>
      <c r="M68" s="7" t="s">
        <v>79</v>
      </c>
      <c r="N68" s="7" t="s">
        <v>139</v>
      </c>
    </row>
    <row r="69" spans="1:14" x14ac:dyDescent="0.3">
      <c r="A69" s="7" t="s">
        <v>7</v>
      </c>
      <c r="B69" s="7" t="s">
        <v>145</v>
      </c>
      <c r="C69" s="122" t="s">
        <v>142</v>
      </c>
      <c r="D69" s="9">
        <v>2000</v>
      </c>
      <c r="E69" s="16">
        <v>0</v>
      </c>
      <c r="F69" s="16">
        <v>0.15</v>
      </c>
      <c r="G69" s="17">
        <v>2</v>
      </c>
      <c r="H69" s="17">
        <v>30</v>
      </c>
      <c r="I69" s="7"/>
      <c r="J69" s="17">
        <v>3</v>
      </c>
      <c r="K69" s="17">
        <v>3</v>
      </c>
      <c r="L69" s="7">
        <v>2026</v>
      </c>
      <c r="M69" s="7" t="s">
        <v>80</v>
      </c>
      <c r="N69" s="7" t="s">
        <v>141</v>
      </c>
    </row>
    <row r="70" spans="1:14" x14ac:dyDescent="0.3">
      <c r="A70" s="7" t="s">
        <v>8</v>
      </c>
      <c r="B70" s="7" t="s">
        <v>146</v>
      </c>
      <c r="C70" s="7" t="s">
        <v>18</v>
      </c>
      <c r="D70" s="9">
        <v>2700</v>
      </c>
      <c r="E70" s="16">
        <v>0</v>
      </c>
      <c r="F70" s="16">
        <v>0.2</v>
      </c>
      <c r="G70" s="17">
        <v>3</v>
      </c>
      <c r="H70" s="17">
        <v>45</v>
      </c>
      <c r="I70" s="7"/>
      <c r="J70" s="17">
        <v>4</v>
      </c>
      <c r="K70" s="17">
        <v>4</v>
      </c>
      <c r="L70" s="7">
        <v>2027</v>
      </c>
      <c r="M70" s="7" t="s">
        <v>81</v>
      </c>
      <c r="N70" s="7"/>
    </row>
    <row r="71" spans="1:14" x14ac:dyDescent="0.3">
      <c r="A71" s="7" t="s">
        <v>10</v>
      </c>
      <c r="B71" s="7" t="s">
        <v>147</v>
      </c>
      <c r="C71" s="7" t="s">
        <v>19</v>
      </c>
      <c r="D71" s="9">
        <v>2200</v>
      </c>
      <c r="E71" s="16">
        <v>0</v>
      </c>
      <c r="F71" s="16">
        <v>0.25</v>
      </c>
      <c r="G71" s="17">
        <v>4</v>
      </c>
      <c r="H71" s="17"/>
      <c r="I71" s="7"/>
      <c r="J71" s="17">
        <v>5</v>
      </c>
      <c r="K71" s="17">
        <v>5</v>
      </c>
      <c r="L71" s="7">
        <v>2028</v>
      </c>
      <c r="M71" s="7" t="s">
        <v>82</v>
      </c>
      <c r="N71" s="7"/>
    </row>
    <row r="72" spans="1:14" x14ac:dyDescent="0.3">
      <c r="A72" s="7" t="s">
        <v>11</v>
      </c>
      <c r="B72" s="7" t="s">
        <v>148</v>
      </c>
      <c r="C72" s="7" t="s">
        <v>43</v>
      </c>
      <c r="D72" s="9">
        <v>1800</v>
      </c>
      <c r="E72" s="16">
        <v>0</v>
      </c>
      <c r="F72" s="16">
        <v>0.3</v>
      </c>
      <c r="G72" s="17">
        <v>5</v>
      </c>
      <c r="H72" s="17"/>
      <c r="I72" s="7"/>
      <c r="J72" s="17">
        <v>6</v>
      </c>
      <c r="K72" s="17">
        <v>6</v>
      </c>
      <c r="L72" s="7">
        <v>2029</v>
      </c>
      <c r="M72" s="7" t="s">
        <v>83</v>
      </c>
      <c r="N72" s="7"/>
    </row>
    <row r="73" spans="1:14" x14ac:dyDescent="0.3">
      <c r="A73" s="7" t="s">
        <v>13</v>
      </c>
      <c r="B73" s="7" t="s">
        <v>149</v>
      </c>
      <c r="C73" s="7" t="s">
        <v>44</v>
      </c>
      <c r="D73" s="9">
        <v>1500</v>
      </c>
      <c r="E73" s="16">
        <v>0</v>
      </c>
      <c r="F73" s="16"/>
      <c r="G73" s="17">
        <v>6</v>
      </c>
      <c r="H73" s="17"/>
      <c r="I73" s="7"/>
      <c r="J73" s="17">
        <v>7</v>
      </c>
      <c r="K73" s="17">
        <v>7</v>
      </c>
      <c r="L73" s="7">
        <v>2030</v>
      </c>
      <c r="M73" s="7" t="s">
        <v>84</v>
      </c>
      <c r="N73" s="7"/>
    </row>
    <row r="74" spans="1:14" x14ac:dyDescent="0.3">
      <c r="A74" s="7"/>
      <c r="B74" s="7" t="s">
        <v>29</v>
      </c>
      <c r="C74" s="7" t="s">
        <v>45</v>
      </c>
      <c r="D74" s="9">
        <v>4500</v>
      </c>
      <c r="E74" s="16">
        <v>0</v>
      </c>
      <c r="F74" s="16"/>
      <c r="G74" s="17">
        <v>7</v>
      </c>
      <c r="H74" s="17"/>
      <c r="I74" s="7"/>
      <c r="J74" s="17">
        <v>8</v>
      </c>
      <c r="K74" s="17">
        <v>8</v>
      </c>
      <c r="L74" s="7">
        <v>2031</v>
      </c>
      <c r="M74" s="7"/>
      <c r="N74" s="7"/>
    </row>
    <row r="75" spans="1:14" x14ac:dyDescent="0.3">
      <c r="A75" s="7"/>
      <c r="B75" s="7" t="s">
        <v>30</v>
      </c>
      <c r="C75" s="7" t="s">
        <v>46</v>
      </c>
      <c r="D75" s="9">
        <v>1500</v>
      </c>
      <c r="E75" s="16">
        <v>0</v>
      </c>
      <c r="F75" s="16"/>
      <c r="G75" s="17">
        <v>8</v>
      </c>
      <c r="H75" s="17"/>
      <c r="I75" s="7"/>
      <c r="J75" s="17">
        <v>9</v>
      </c>
      <c r="K75" s="17">
        <v>9</v>
      </c>
      <c r="L75" s="7">
        <v>2032</v>
      </c>
      <c r="M75" s="7"/>
      <c r="N75" s="7"/>
    </row>
    <row r="76" spans="1:14" x14ac:dyDescent="0.3">
      <c r="A76" s="7"/>
      <c r="B76" s="7" t="s">
        <v>31</v>
      </c>
      <c r="C76" s="7" t="s">
        <v>131</v>
      </c>
      <c r="D76" s="9">
        <v>2200</v>
      </c>
      <c r="E76" s="16">
        <v>0</v>
      </c>
      <c r="F76" s="16"/>
      <c r="G76" s="17">
        <v>9</v>
      </c>
      <c r="H76" s="17"/>
      <c r="I76" s="7"/>
      <c r="J76" s="17">
        <v>10</v>
      </c>
      <c r="K76" s="17">
        <v>10</v>
      </c>
      <c r="L76" s="7">
        <v>2033</v>
      </c>
      <c r="M76" s="7"/>
      <c r="N76" s="7"/>
    </row>
    <row r="77" spans="1:14" x14ac:dyDescent="0.3">
      <c r="A77" s="7"/>
      <c r="B77" s="7" t="s">
        <v>38</v>
      </c>
      <c r="C77" s="7" t="s">
        <v>132</v>
      </c>
      <c r="D77" s="9">
        <v>1800</v>
      </c>
      <c r="E77" s="16">
        <v>0</v>
      </c>
      <c r="F77" s="16"/>
      <c r="G77" s="17">
        <v>10</v>
      </c>
      <c r="H77" s="17"/>
      <c r="I77" s="7"/>
      <c r="J77" s="17">
        <v>11</v>
      </c>
      <c r="K77" s="17">
        <v>11</v>
      </c>
      <c r="L77" s="7">
        <v>2034</v>
      </c>
      <c r="M77" s="7"/>
      <c r="N77" s="7"/>
    </row>
    <row r="78" spans="1:14" x14ac:dyDescent="0.3">
      <c r="A78" s="7"/>
      <c r="B78" s="7" t="s">
        <v>39</v>
      </c>
      <c r="C78" s="7" t="s">
        <v>47</v>
      </c>
      <c r="D78" s="9">
        <v>2000</v>
      </c>
      <c r="E78" s="16">
        <v>0</v>
      </c>
      <c r="F78" s="16"/>
      <c r="G78" s="17">
        <v>11</v>
      </c>
      <c r="H78" s="17"/>
      <c r="I78" s="7"/>
      <c r="J78" s="17">
        <v>12</v>
      </c>
      <c r="K78" s="17">
        <v>12</v>
      </c>
      <c r="L78" s="7">
        <v>2035</v>
      </c>
      <c r="M78" s="7"/>
      <c r="N78" s="7"/>
    </row>
    <row r="79" spans="1:14" x14ac:dyDescent="0.3">
      <c r="A79" s="7"/>
      <c r="B79" s="7" t="s">
        <v>55</v>
      </c>
      <c r="C79" s="7" t="s">
        <v>48</v>
      </c>
      <c r="D79" s="9">
        <v>1800</v>
      </c>
      <c r="E79" s="16">
        <v>0</v>
      </c>
      <c r="F79" s="16"/>
      <c r="G79" s="17">
        <v>12</v>
      </c>
      <c r="H79" s="17"/>
      <c r="I79" s="7"/>
      <c r="J79" s="17">
        <v>13</v>
      </c>
      <c r="K79" s="17"/>
      <c r="L79" s="7">
        <v>2036</v>
      </c>
      <c r="M79" s="7"/>
      <c r="N79" s="7"/>
    </row>
    <row r="80" spans="1:14" x14ac:dyDescent="0.3">
      <c r="A80" s="7"/>
      <c r="B80" s="7" t="s">
        <v>58</v>
      </c>
      <c r="C80" s="7" t="s">
        <v>49</v>
      </c>
      <c r="D80" s="9">
        <v>1500</v>
      </c>
      <c r="E80" s="16">
        <v>0</v>
      </c>
      <c r="F80" s="16"/>
      <c r="G80" s="7"/>
      <c r="H80" s="17"/>
      <c r="I80" s="7"/>
      <c r="J80" s="17">
        <v>14</v>
      </c>
      <c r="K80" s="17"/>
      <c r="L80" s="7">
        <v>2037</v>
      </c>
      <c r="M80" s="7"/>
      <c r="N80" s="7"/>
    </row>
    <row r="81" spans="1:14" x14ac:dyDescent="0.3">
      <c r="A81" s="7"/>
      <c r="B81" s="7" t="s">
        <v>60</v>
      </c>
      <c r="C81" s="7" t="s">
        <v>50</v>
      </c>
      <c r="D81" s="9">
        <v>1000</v>
      </c>
      <c r="E81" s="16">
        <v>0</v>
      </c>
      <c r="F81" s="16"/>
      <c r="G81" s="1"/>
      <c r="H81" s="17"/>
      <c r="I81" s="7"/>
      <c r="J81" s="17">
        <v>15</v>
      </c>
      <c r="K81" s="17"/>
      <c r="L81" s="7">
        <v>2038</v>
      </c>
      <c r="M81" s="7"/>
      <c r="N81" s="7"/>
    </row>
    <row r="82" spans="1:14" x14ac:dyDescent="0.3">
      <c r="A82" s="7"/>
      <c r="B82" s="7" t="s">
        <v>63</v>
      </c>
      <c r="C82" s="7" t="s">
        <v>51</v>
      </c>
      <c r="D82" s="9">
        <v>3500</v>
      </c>
      <c r="E82" s="16">
        <v>0</v>
      </c>
      <c r="F82" s="16"/>
      <c r="G82" s="17"/>
      <c r="H82" s="17"/>
      <c r="I82" s="7"/>
      <c r="J82" s="17">
        <v>16</v>
      </c>
      <c r="K82" s="17"/>
      <c r="L82" s="7">
        <v>2039</v>
      </c>
      <c r="M82" s="7"/>
      <c r="N82" s="7"/>
    </row>
    <row r="83" spans="1:14" x14ac:dyDescent="0.3">
      <c r="A83" s="7"/>
      <c r="B83" s="7" t="s">
        <v>65</v>
      </c>
      <c r="C83" s="7" t="s">
        <v>52</v>
      </c>
      <c r="D83" s="9">
        <v>1200</v>
      </c>
      <c r="E83" s="16">
        <v>0</v>
      </c>
      <c r="F83" s="16"/>
      <c r="G83" s="17"/>
      <c r="H83" s="17"/>
      <c r="I83" s="7"/>
      <c r="J83" s="17">
        <v>17</v>
      </c>
      <c r="K83" s="17"/>
      <c r="L83" s="7">
        <v>2040</v>
      </c>
      <c r="M83" s="7"/>
      <c r="N83" s="7"/>
    </row>
    <row r="84" spans="1:14" x14ac:dyDescent="0.3">
      <c r="A84" s="7"/>
      <c r="B84" s="7" t="s">
        <v>156</v>
      </c>
      <c r="C84" s="7" t="s">
        <v>133</v>
      </c>
      <c r="D84" s="9">
        <v>1800</v>
      </c>
      <c r="E84" s="16">
        <v>0</v>
      </c>
      <c r="F84" s="16"/>
      <c r="G84" s="17"/>
      <c r="H84" s="17"/>
      <c r="I84" s="7"/>
      <c r="J84" s="17">
        <v>18</v>
      </c>
      <c r="K84" s="17"/>
      <c r="L84" s="7">
        <v>2041</v>
      </c>
      <c r="M84" s="7"/>
      <c r="N84" s="7"/>
    </row>
    <row r="85" spans="1:14" x14ac:dyDescent="0.3">
      <c r="A85" s="7"/>
      <c r="B85" s="7"/>
      <c r="C85" s="7" t="s">
        <v>134</v>
      </c>
      <c r="D85" s="9">
        <v>1500</v>
      </c>
      <c r="E85" s="16">
        <v>0</v>
      </c>
      <c r="F85" s="16"/>
      <c r="G85" s="17"/>
      <c r="H85" s="17"/>
      <c r="I85" s="7"/>
      <c r="J85" s="17">
        <v>19</v>
      </c>
      <c r="K85" s="17"/>
      <c r="L85" s="7">
        <v>2042</v>
      </c>
      <c r="M85" s="7"/>
      <c r="N85" s="7"/>
    </row>
    <row r="86" spans="1:14" x14ac:dyDescent="0.3">
      <c r="A86" s="7"/>
      <c r="B86" s="7"/>
      <c r="C86" s="7" t="s">
        <v>23</v>
      </c>
      <c r="D86" s="9">
        <v>600</v>
      </c>
      <c r="E86" s="16">
        <v>0</v>
      </c>
      <c r="F86" s="16"/>
      <c r="G86" s="17"/>
      <c r="H86" s="17"/>
      <c r="I86" s="7"/>
      <c r="J86" s="17">
        <v>20</v>
      </c>
      <c r="K86" s="17"/>
      <c r="L86" s="7">
        <v>2043</v>
      </c>
      <c r="M86" s="7"/>
      <c r="N86" s="7"/>
    </row>
    <row r="87" spans="1:14" x14ac:dyDescent="0.3">
      <c r="A87" s="7"/>
      <c r="B87" s="7"/>
      <c r="C87" s="7" t="s">
        <v>20</v>
      </c>
      <c r="D87" s="9">
        <v>1500</v>
      </c>
      <c r="E87" s="16">
        <v>0</v>
      </c>
      <c r="F87" s="16"/>
      <c r="G87" s="17"/>
      <c r="H87" s="17"/>
      <c r="I87" s="7"/>
      <c r="J87" s="17">
        <v>21</v>
      </c>
      <c r="K87" s="17"/>
      <c r="L87" s="7">
        <v>2044</v>
      </c>
      <c r="M87" s="7"/>
      <c r="N87" s="7"/>
    </row>
    <row r="88" spans="1:14" x14ac:dyDescent="0.3">
      <c r="A88" s="7"/>
      <c r="B88" s="7"/>
      <c r="C88" s="7" t="s">
        <v>21</v>
      </c>
      <c r="D88" s="9">
        <v>1000</v>
      </c>
      <c r="E88" s="16">
        <v>0</v>
      </c>
      <c r="F88" s="16"/>
      <c r="G88" s="17"/>
      <c r="H88" s="17"/>
      <c r="I88" s="7"/>
      <c r="J88" s="17">
        <v>22</v>
      </c>
      <c r="K88" s="17"/>
      <c r="L88" s="7">
        <v>2045</v>
      </c>
      <c r="M88" s="7"/>
      <c r="N88" s="7"/>
    </row>
    <row r="89" spans="1:14" x14ac:dyDescent="0.3">
      <c r="A89" s="7"/>
      <c r="B89" s="7"/>
      <c r="C89" s="7" t="s">
        <v>22</v>
      </c>
      <c r="D89" s="9">
        <v>1500</v>
      </c>
      <c r="E89" s="16">
        <v>0</v>
      </c>
      <c r="F89" s="16"/>
      <c r="G89" s="17"/>
      <c r="H89" s="17"/>
      <c r="I89" s="7"/>
      <c r="J89" s="17">
        <v>23</v>
      </c>
      <c r="K89" s="17"/>
      <c r="L89" s="7">
        <v>2046</v>
      </c>
      <c r="M89" s="7"/>
      <c r="N89" s="7"/>
    </row>
    <row r="90" spans="1:14" x14ac:dyDescent="0.3">
      <c r="A90" s="7"/>
      <c r="B90" s="7"/>
      <c r="C90" s="7" t="s">
        <v>32</v>
      </c>
      <c r="D90" s="9">
        <v>1450</v>
      </c>
      <c r="E90" s="16">
        <v>0.18</v>
      </c>
      <c r="F90" s="16"/>
      <c r="G90" s="17"/>
      <c r="H90" s="17"/>
      <c r="I90" s="7"/>
      <c r="J90" s="17">
        <v>24</v>
      </c>
      <c r="K90" s="17"/>
      <c r="L90" s="7">
        <v>2047</v>
      </c>
      <c r="M90" s="7"/>
      <c r="N90" s="7"/>
    </row>
    <row r="91" spans="1:14" x14ac:dyDescent="0.3">
      <c r="A91" s="7"/>
      <c r="B91" s="7"/>
      <c r="C91" s="7" t="s">
        <v>33</v>
      </c>
      <c r="D91" s="9">
        <v>2200</v>
      </c>
      <c r="E91" s="16">
        <v>0.18</v>
      </c>
      <c r="F91" s="16"/>
      <c r="G91" s="17"/>
      <c r="H91" s="17"/>
      <c r="I91" s="7"/>
      <c r="J91" s="17">
        <v>25</v>
      </c>
      <c r="K91" s="17"/>
      <c r="L91" s="7">
        <v>2048</v>
      </c>
      <c r="M91" s="7"/>
      <c r="N91" s="7"/>
    </row>
    <row r="92" spans="1:14" x14ac:dyDescent="0.3">
      <c r="A92" s="7"/>
      <c r="B92" s="7"/>
      <c r="C92" s="7" t="s">
        <v>34</v>
      </c>
      <c r="D92" s="9">
        <v>3300</v>
      </c>
      <c r="E92" s="16">
        <v>0.18</v>
      </c>
      <c r="F92" s="16"/>
      <c r="G92" s="17"/>
      <c r="H92" s="17"/>
      <c r="I92" s="7"/>
      <c r="J92" s="17">
        <v>26</v>
      </c>
      <c r="K92" s="17"/>
      <c r="L92" s="7">
        <v>2049</v>
      </c>
      <c r="M92" s="7"/>
      <c r="N92" s="7"/>
    </row>
    <row r="93" spans="1:14" x14ac:dyDescent="0.3">
      <c r="A93" s="7"/>
      <c r="B93" s="7"/>
      <c r="C93" s="7" t="s">
        <v>35</v>
      </c>
      <c r="D93" s="9">
        <v>2420</v>
      </c>
      <c r="E93" s="16">
        <v>0.18</v>
      </c>
      <c r="F93" s="16"/>
      <c r="G93" s="17"/>
      <c r="H93" s="17"/>
      <c r="I93" s="7"/>
      <c r="J93" s="17">
        <v>27</v>
      </c>
      <c r="K93" s="17"/>
      <c r="L93" s="7">
        <v>2050</v>
      </c>
      <c r="M93" s="7"/>
      <c r="N93" s="7"/>
    </row>
    <row r="94" spans="1:14" x14ac:dyDescent="0.3">
      <c r="A94" s="7"/>
      <c r="B94" s="7"/>
      <c r="C94" s="7" t="s">
        <v>36</v>
      </c>
      <c r="D94" s="9">
        <v>3300</v>
      </c>
      <c r="E94" s="16">
        <v>0.18</v>
      </c>
      <c r="F94" s="16"/>
      <c r="G94" s="17"/>
      <c r="H94" s="17"/>
      <c r="I94" s="7"/>
      <c r="J94" s="17">
        <v>28</v>
      </c>
      <c r="K94" s="17"/>
      <c r="L94" s="7">
        <v>2051</v>
      </c>
      <c r="M94" s="7"/>
      <c r="N94" s="7"/>
    </row>
    <row r="95" spans="1:14" x14ac:dyDescent="0.3">
      <c r="A95" s="7"/>
      <c r="B95" s="7"/>
      <c r="C95" s="7" t="s">
        <v>37</v>
      </c>
      <c r="D95" s="9">
        <v>4400</v>
      </c>
      <c r="E95" s="16">
        <v>0.18</v>
      </c>
      <c r="F95" s="16"/>
      <c r="G95" s="17"/>
      <c r="H95" s="17"/>
      <c r="I95" s="7"/>
      <c r="J95" s="17">
        <v>29</v>
      </c>
      <c r="K95" s="17"/>
      <c r="L95" s="7">
        <v>2052</v>
      </c>
      <c r="M95" s="7"/>
      <c r="N95" s="7"/>
    </row>
    <row r="96" spans="1:14" x14ac:dyDescent="0.3">
      <c r="A96" s="7"/>
      <c r="B96" s="7"/>
      <c r="C96" s="7" t="s">
        <v>9</v>
      </c>
      <c r="D96" s="9">
        <v>3200</v>
      </c>
      <c r="E96" s="16">
        <v>0.05</v>
      </c>
      <c r="F96" s="16"/>
      <c r="G96" s="17"/>
      <c r="H96" s="17"/>
      <c r="I96" s="7"/>
      <c r="J96" s="17">
        <v>30</v>
      </c>
      <c r="K96" s="17"/>
      <c r="L96" s="7">
        <v>2053</v>
      </c>
      <c r="M96" s="7"/>
      <c r="N96" s="7"/>
    </row>
    <row r="97" spans="1:14" x14ac:dyDescent="0.3">
      <c r="A97" s="7"/>
      <c r="B97" s="7"/>
      <c r="C97" s="7" t="s">
        <v>40</v>
      </c>
      <c r="D97" s="9">
        <v>1900</v>
      </c>
      <c r="E97" s="16">
        <v>0.05</v>
      </c>
      <c r="F97" s="16"/>
      <c r="G97" s="17"/>
      <c r="H97" s="17"/>
      <c r="I97" s="7"/>
      <c r="J97" s="17">
        <v>31</v>
      </c>
      <c r="K97" s="17"/>
      <c r="L97" s="7">
        <v>2054</v>
      </c>
      <c r="M97" s="7"/>
      <c r="N97" s="7"/>
    </row>
    <row r="98" spans="1:14" x14ac:dyDescent="0.3">
      <c r="A98" s="7"/>
      <c r="B98" s="7"/>
      <c r="C98" s="7" t="s">
        <v>41</v>
      </c>
      <c r="D98" s="9">
        <v>2200</v>
      </c>
      <c r="E98" s="16">
        <v>0.05</v>
      </c>
      <c r="F98" s="16"/>
      <c r="G98" s="17"/>
      <c r="H98" s="17"/>
      <c r="I98" s="7"/>
      <c r="J98" s="17"/>
      <c r="K98" s="17"/>
      <c r="L98" s="7">
        <v>2055</v>
      </c>
      <c r="M98" s="7"/>
      <c r="N98" s="7"/>
    </row>
    <row r="99" spans="1:14" x14ac:dyDescent="0.3">
      <c r="A99" s="7"/>
      <c r="B99" s="7"/>
      <c r="C99" s="7" t="s">
        <v>42</v>
      </c>
      <c r="D99" s="9">
        <v>2500</v>
      </c>
      <c r="E99" s="16">
        <v>0.05</v>
      </c>
      <c r="F99" s="16"/>
      <c r="G99" s="17"/>
      <c r="H99" s="17"/>
      <c r="I99" s="7"/>
      <c r="J99" s="17"/>
      <c r="K99" s="17"/>
      <c r="L99" s="7">
        <v>2056</v>
      </c>
      <c r="M99" s="7"/>
      <c r="N99" s="7"/>
    </row>
    <row r="100" spans="1:14" x14ac:dyDescent="0.3">
      <c r="A100" s="7"/>
      <c r="B100" s="7"/>
      <c r="C100" s="7" t="s">
        <v>54</v>
      </c>
      <c r="D100" s="9">
        <v>1750</v>
      </c>
      <c r="E100" s="16">
        <v>0.05</v>
      </c>
      <c r="F100" s="16"/>
      <c r="G100" s="17"/>
      <c r="H100" s="17"/>
      <c r="I100" s="7"/>
      <c r="J100" s="17"/>
      <c r="K100" s="17"/>
      <c r="L100" s="7">
        <v>2057</v>
      </c>
      <c r="M100" s="7"/>
      <c r="N100" s="7"/>
    </row>
    <row r="101" spans="1:14" x14ac:dyDescent="0.3">
      <c r="A101" s="7"/>
      <c r="B101" s="7"/>
      <c r="C101" s="7" t="s">
        <v>53</v>
      </c>
      <c r="D101" s="9">
        <v>1500</v>
      </c>
      <c r="E101" s="16">
        <v>0.05</v>
      </c>
      <c r="F101" s="16"/>
      <c r="G101" s="17"/>
      <c r="H101" s="17"/>
      <c r="I101" s="7"/>
      <c r="J101" s="17"/>
      <c r="K101" s="17"/>
      <c r="L101" s="7">
        <v>2058</v>
      </c>
      <c r="M101" s="7"/>
      <c r="N101" s="7"/>
    </row>
    <row r="102" spans="1:14" x14ac:dyDescent="0.3">
      <c r="A102" s="7"/>
      <c r="B102" s="7"/>
      <c r="C102" s="7" t="s">
        <v>56</v>
      </c>
      <c r="D102" s="9">
        <v>2600</v>
      </c>
      <c r="E102" s="16">
        <v>0.18</v>
      </c>
      <c r="F102" s="16"/>
      <c r="G102" s="17"/>
      <c r="H102" s="17"/>
      <c r="I102" s="7"/>
      <c r="J102" s="17"/>
      <c r="K102" s="17"/>
      <c r="L102" s="7">
        <v>2059</v>
      </c>
      <c r="M102" s="7"/>
      <c r="N102" s="7"/>
    </row>
    <row r="103" spans="1:14" x14ac:dyDescent="0.3">
      <c r="A103" s="7"/>
      <c r="B103" s="7"/>
      <c r="C103" s="7" t="s">
        <v>57</v>
      </c>
      <c r="D103" s="9">
        <v>3500</v>
      </c>
      <c r="E103" s="16">
        <v>0.18</v>
      </c>
      <c r="F103" s="16"/>
      <c r="G103" s="17"/>
      <c r="H103" s="17"/>
      <c r="I103" s="7"/>
      <c r="J103" s="83"/>
      <c r="K103" s="83"/>
      <c r="L103" s="84">
        <v>2060</v>
      </c>
      <c r="M103" s="7"/>
      <c r="N103" s="7"/>
    </row>
    <row r="104" spans="1:14" x14ac:dyDescent="0.3">
      <c r="A104" s="7"/>
      <c r="B104" s="7"/>
      <c r="C104" s="7" t="s">
        <v>59</v>
      </c>
      <c r="D104" s="9">
        <v>3000</v>
      </c>
      <c r="E104" s="16">
        <v>0.18</v>
      </c>
      <c r="F104" s="16"/>
      <c r="G104" s="17"/>
      <c r="H104" s="17"/>
      <c r="I104" s="7"/>
      <c r="J104" s="17"/>
      <c r="K104" s="17"/>
      <c r="L104" s="7"/>
      <c r="M104" s="7"/>
      <c r="N104" s="7"/>
    </row>
    <row r="105" spans="1:14" x14ac:dyDescent="0.3">
      <c r="A105" s="7"/>
      <c r="B105" s="7"/>
      <c r="C105" s="7" t="s">
        <v>61</v>
      </c>
      <c r="D105" s="9">
        <v>3500</v>
      </c>
      <c r="E105" s="16">
        <v>0.18</v>
      </c>
      <c r="F105" s="16"/>
      <c r="G105" s="17"/>
      <c r="H105" s="17"/>
      <c r="I105" s="7"/>
      <c r="J105" s="17"/>
      <c r="K105" s="17"/>
      <c r="L105" s="7"/>
      <c r="M105" s="7"/>
      <c r="N105" s="7"/>
    </row>
    <row r="106" spans="1:14" x14ac:dyDescent="0.3">
      <c r="A106" s="7"/>
      <c r="B106" s="7"/>
      <c r="C106" s="7" t="s">
        <v>62</v>
      </c>
      <c r="D106" s="9">
        <v>2800</v>
      </c>
      <c r="E106" s="16">
        <v>0.18</v>
      </c>
      <c r="F106" s="16"/>
      <c r="G106" s="17"/>
      <c r="H106" s="17"/>
      <c r="I106" s="7"/>
      <c r="J106" s="17"/>
      <c r="K106" s="17"/>
      <c r="L106" s="7"/>
      <c r="M106" s="7"/>
      <c r="N106" s="7"/>
    </row>
    <row r="107" spans="1:14" x14ac:dyDescent="0.3">
      <c r="A107" s="7"/>
      <c r="B107" s="7"/>
      <c r="C107" s="7" t="s">
        <v>12</v>
      </c>
      <c r="D107" s="9">
        <v>2800</v>
      </c>
      <c r="E107" s="16">
        <v>0.18</v>
      </c>
      <c r="F107" s="16"/>
      <c r="G107" s="17"/>
      <c r="H107" s="17"/>
      <c r="I107" s="7"/>
      <c r="J107" s="17"/>
      <c r="K107" s="17"/>
      <c r="L107" s="7"/>
      <c r="M107" s="7"/>
      <c r="N107" s="7"/>
    </row>
    <row r="108" spans="1:14" x14ac:dyDescent="0.3">
      <c r="A108" s="7"/>
      <c r="B108" s="7"/>
      <c r="C108" s="7" t="s">
        <v>64</v>
      </c>
      <c r="D108" s="9">
        <v>2200</v>
      </c>
      <c r="E108" s="16">
        <v>0.18</v>
      </c>
      <c r="F108" s="125"/>
      <c r="G108" s="126"/>
      <c r="H108" s="126"/>
      <c r="I108" s="127"/>
      <c r="J108" s="126"/>
      <c r="K108" s="126"/>
      <c r="L108" s="127"/>
      <c r="M108" s="127"/>
      <c r="N108" s="127"/>
    </row>
    <row r="109" spans="1:14" x14ac:dyDescent="0.3">
      <c r="A109" s="84"/>
      <c r="B109" s="84"/>
      <c r="C109" s="84" t="s">
        <v>14</v>
      </c>
      <c r="D109" s="138">
        <v>3000</v>
      </c>
      <c r="E109" s="139">
        <v>0.18</v>
      </c>
      <c r="F109" s="140"/>
      <c r="G109" s="141"/>
      <c r="H109" s="141"/>
      <c r="I109" s="142"/>
      <c r="J109" s="141"/>
      <c r="K109" s="141"/>
      <c r="L109" s="142"/>
      <c r="M109" s="142"/>
      <c r="N109" s="142"/>
    </row>
    <row r="110" spans="1:14" x14ac:dyDescent="0.3">
      <c r="A110" s="84"/>
      <c r="B110" s="84"/>
      <c r="C110" s="7" t="s">
        <v>151</v>
      </c>
      <c r="D110" s="9">
        <v>322.02999999999997</v>
      </c>
      <c r="E110" s="16">
        <v>0.18</v>
      </c>
      <c r="F110" s="84"/>
      <c r="G110" s="84"/>
      <c r="H110" s="84"/>
      <c r="I110" s="84"/>
      <c r="J110" s="84"/>
      <c r="K110" s="84"/>
      <c r="L110" s="84"/>
      <c r="M110" s="84"/>
      <c r="N110" s="84"/>
    </row>
    <row r="111" spans="1:14" x14ac:dyDescent="0.3">
      <c r="A111" s="84"/>
      <c r="B111" s="84"/>
      <c r="C111" s="84" t="s">
        <v>152</v>
      </c>
      <c r="D111" s="138">
        <v>4237.29</v>
      </c>
      <c r="E111" s="139">
        <v>0.18</v>
      </c>
      <c r="F111" s="84"/>
      <c r="G111" s="84"/>
      <c r="H111" s="84"/>
      <c r="I111" s="84"/>
      <c r="J111" s="84"/>
      <c r="K111" s="84"/>
      <c r="L111" s="84"/>
      <c r="M111" s="84"/>
      <c r="N111" s="84"/>
    </row>
    <row r="112" spans="1:14" x14ac:dyDescent="0.3">
      <c r="A112" s="84"/>
      <c r="B112" s="84"/>
      <c r="C112" s="84" t="s">
        <v>154</v>
      </c>
      <c r="D112" s="138">
        <v>2700</v>
      </c>
      <c r="E112" s="139">
        <v>0.18</v>
      </c>
      <c r="F112" s="84"/>
      <c r="G112" s="84"/>
      <c r="H112" s="84"/>
      <c r="I112" s="84"/>
      <c r="J112" s="84"/>
      <c r="K112" s="84"/>
      <c r="L112" s="84"/>
      <c r="M112" s="84"/>
      <c r="N112" s="84"/>
    </row>
    <row r="113" spans="1:14" x14ac:dyDescent="0.3">
      <c r="A113" s="84"/>
      <c r="B113" s="84"/>
      <c r="C113" s="84" t="s">
        <v>155</v>
      </c>
      <c r="D113" s="138">
        <v>2250</v>
      </c>
      <c r="E113" s="139">
        <v>0.18</v>
      </c>
      <c r="F113" s="84"/>
      <c r="G113" s="84"/>
      <c r="H113" s="84"/>
      <c r="I113" s="84"/>
      <c r="J113" s="84"/>
      <c r="K113" s="84"/>
      <c r="L113" s="84"/>
      <c r="M113" s="84"/>
      <c r="N113" s="84"/>
    </row>
    <row r="114" spans="1:14" ht="16.2" thickBot="1" x14ac:dyDescent="0.35">
      <c r="A114" s="8"/>
      <c r="B114" s="8"/>
      <c r="C114" s="8" t="s">
        <v>157</v>
      </c>
      <c r="D114" s="10">
        <v>1875</v>
      </c>
      <c r="E114" s="18">
        <v>0.18</v>
      </c>
      <c r="F114" s="8"/>
      <c r="G114" s="8"/>
      <c r="H114" s="8"/>
      <c r="I114" s="8"/>
      <c r="J114" s="8"/>
      <c r="K114" s="8"/>
      <c r="L114" s="8"/>
      <c r="M114" s="8"/>
      <c r="N114" s="8"/>
    </row>
  </sheetData>
  <mergeCells count="2">
    <mergeCell ref="A1:F1"/>
    <mergeCell ref="A64:N6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2026-05-02T04:30:39Z</dcterms:modified>
</cp:coreProperties>
</file>