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AF402A82-72DC-4C5E-9B7E-93F9D0C47560}" xr6:coauthVersionLast="47" xr6:coauthVersionMax="47" xr10:uidLastSave="{00000000-0000-0000-0000-000000000000}"/>
  <bookViews>
    <workbookView xWindow="8724" yWindow="2052" windowWidth="8592" windowHeight="10536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I55" i="2" l="1"/>
</calcChain>
</file>

<file path=xl/sharedStrings.xml><?xml version="1.0" encoding="utf-8"?>
<sst xmlns="http://schemas.openxmlformats.org/spreadsheetml/2006/main" count="102" uniqueCount="79">
  <si>
    <t>Time</t>
  </si>
  <si>
    <t>Date</t>
  </si>
  <si>
    <t>Month</t>
  </si>
  <si>
    <t>Year</t>
  </si>
  <si>
    <t>Payment Option</t>
  </si>
  <si>
    <t>Minute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</si>
  <si>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</si>
  <si>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</si>
  <si>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</si>
  <si>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</si>
  <si>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</si>
  <si>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</si>
  <si>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</si>
  <si>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</si>
  <si>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</si>
  <si>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</si>
  <si>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</si>
  <si>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</si>
  <si>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</si>
  <si>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</si>
  <si>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</si>
  <si>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</si>
  <si>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</si>
  <si>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</si>
  <si>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</si>
  <si>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</si>
  <si>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</si>
  <si>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</si>
  <si>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</si>
  <si>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</si>
  <si>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</si>
  <si>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HSN/SAC</t>
  </si>
  <si>
    <t>Disc.</t>
  </si>
  <si>
    <t>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</si>
  <si>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</si>
  <si>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</si>
  <si>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</si>
  <si>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</si>
  <si>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</si>
  <si>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</si>
  <si>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</si>
  <si>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</si>
  <si>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</si>
  <si>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</si>
  <si>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</si>
  <si>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</si>
  <si>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</si>
  <si>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</si>
  <si>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</si>
  <si>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</si>
  <si>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</si>
  <si>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</si>
  <si>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</si>
  <si>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</si>
  <si>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</si>
  <si>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</si>
  <si>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</si>
  <si>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PRODUCT TABLE</t>
  </si>
  <si>
    <t>Product</t>
  </si>
  <si>
    <t>Mini Foam Roller</t>
  </si>
  <si>
    <t>Mini Black Ball</t>
  </si>
  <si>
    <t>Hot Pack</t>
  </si>
  <si>
    <t>Yoga Strap</t>
  </si>
  <si>
    <t>Description of Products / Particulars</t>
  </si>
  <si>
    <t>Notes</t>
  </si>
  <si>
    <t>Qty</t>
  </si>
  <si>
    <t>Theraband</t>
  </si>
  <si>
    <t>Theraloop</t>
  </si>
  <si>
    <t>Superband</t>
  </si>
  <si>
    <t>Peanut-shaped Black Ball</t>
  </si>
  <si>
    <t>Ice Pack</t>
  </si>
  <si>
    <t>Ice Bag</t>
  </si>
  <si>
    <t>Kinesio Tape</t>
  </si>
  <si>
    <t>Medium Foam Roller</t>
  </si>
  <si>
    <t>Arthrogen Plus</t>
  </si>
  <si>
    <t>Amount per piece</t>
  </si>
  <si>
    <t>Discount</t>
  </si>
  <si>
    <t>COL-MBD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</si>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</sst>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  <numFmt numFmtId="169" formatCode="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 style="medium">
        <color indexed="64"/>
      </left>
      <right/>
      <top style="thin">
        <color rgb="FFFFC000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29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  <xf numFmtId="165" fontId="6" fillId="3" borderId="2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165" fontId="6" fillId="0" borderId="2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0" fontId="9" fillId="4" borderId="10" xfId="0" applyFont="1" applyFill="1" applyBorder="1" applyProtection="1">
      <protection locked="0"/>
    </xf>
    <xf numFmtId="0" fontId="9" fillId="4" borderId="11" xfId="0" applyFont="1" applyFill="1" applyBorder="1" applyProtection="1"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0" fontId="9" fillId="4" borderId="27" xfId="0" applyFont="1" applyFill="1" applyBorder="1" applyAlignment="1" applyProtection="1">
      <alignment vertical="top"/>
      <protection locked="0"/>
    </xf>
    <xf numFmtId="9" fontId="9" fillId="4" borderId="8" xfId="1" applyFont="1" applyFill="1" applyBorder="1" applyAlignment="1" applyProtection="1">
      <alignment vertical="top"/>
      <protection locked="0"/>
    </xf>
    <xf numFmtId="0" fontId="9" fillId="4" borderId="28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0" fontId="9" fillId="4" borderId="28" xfId="0" applyFont="1" applyFill="1" applyBorder="1" applyAlignment="1" applyProtection="1">
      <alignment vertical="top" wrapText="1"/>
      <protection locked="0"/>
    </xf>
    <xf numFmtId="9" fontId="9" fillId="4" borderId="10" xfId="1" applyFont="1" applyFill="1" applyBorder="1" applyAlignment="1" applyProtection="1">
      <alignment vertical="top" wrapText="1"/>
      <protection locked="0"/>
    </xf>
    <xf numFmtId="0" fontId="9" fillId="4" borderId="28" xfId="0" applyFont="1" applyFill="1" applyBorder="1" applyProtection="1">
      <protection locked="0"/>
    </xf>
    <xf numFmtId="9" fontId="9" fillId="4" borderId="10" xfId="1" applyFont="1" applyFill="1" applyBorder="1" applyAlignment="1" applyProtection="1">
      <protection locked="0"/>
    </xf>
    <xf numFmtId="0" fontId="11" fillId="4" borderId="28" xfId="0" applyFont="1" applyFill="1" applyBorder="1" applyAlignment="1" applyProtection="1">
      <alignment vertical="center" wrapText="1"/>
      <protection locked="0"/>
    </xf>
    <xf numFmtId="9" fontId="11" fillId="4" borderId="10" xfId="1" applyFont="1" applyFill="1" applyBorder="1" applyAlignment="1" applyProtection="1">
      <alignment vertical="center" wrapText="1"/>
      <protection locked="0"/>
    </xf>
    <xf numFmtId="9" fontId="11" fillId="4" borderId="10" xfId="1" applyFont="1" applyFill="1" applyBorder="1" applyAlignment="1" applyProtection="1">
      <alignment vertical="center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8" fillId="4" borderId="16" xfId="0" applyFont="1" applyFill="1" applyBorder="1" applyAlignment="1" applyProtection="1">
      <alignment horizontal="center" vertical="center"/>
      <protection locked="0"/>
    </xf>
    <xf numFmtId="165" fontId="2" fillId="0" borderId="38" xfId="0" applyNumberFormat="1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9" fillId="4" borderId="17" xfId="0" applyFont="1" applyFill="1" applyBorder="1" applyProtection="1">
      <protection locked="0"/>
    </xf>
    <xf numFmtId="0" fontId="9" fillId="4" borderId="6" xfId="0" applyFont="1" applyFill="1" applyBorder="1" applyProtection="1">
      <protection locked="0"/>
    </xf>
    <xf numFmtId="0" fontId="4" fillId="0" borderId="17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164" fontId="2" fillId="0" borderId="44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horizontal="right" vertical="center" wrapText="1"/>
    </xf>
    <xf numFmtId="0" fontId="9" fillId="4" borderId="27" xfId="0" applyFont="1" applyFill="1" applyBorder="1" applyAlignment="1">
      <alignment vertical="top"/>
    </xf>
    <xf numFmtId="0" fontId="9" fillId="4" borderId="28" xfId="0" applyFont="1" applyFill="1" applyBorder="1" applyAlignment="1">
      <alignment vertical="top"/>
    </xf>
    <xf numFmtId="0" fontId="9" fillId="4" borderId="28" xfId="0" applyFont="1" applyFill="1" applyBorder="1" applyAlignment="1">
      <alignment vertical="top" wrapText="1"/>
    </xf>
    <xf numFmtId="0" fontId="9" fillId="4" borderId="28" xfId="0" applyFont="1" applyFill="1" applyBorder="1"/>
    <xf numFmtId="0" fontId="11" fillId="4" borderId="28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2" fillId="0" borderId="0" xfId="1" applyFont="1" applyBorder="1" applyAlignment="1">
      <alignment vertical="center" wrapText="1"/>
    </xf>
    <xf numFmtId="9" fontId="6" fillId="3" borderId="2" xfId="1" applyFont="1" applyFill="1" applyBorder="1" applyAlignment="1">
      <alignment vertical="center" wrapText="1"/>
    </xf>
    <xf numFmtId="9" fontId="6" fillId="0" borderId="2" xfId="1" applyFont="1" applyFill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1" fontId="2" fillId="0" borderId="46" xfId="0" applyNumberFormat="1" applyFont="1" applyBorder="1" applyAlignment="1">
      <alignment vertical="center" wrapText="1"/>
    </xf>
    <xf numFmtId="1" fontId="2" fillId="0" borderId="47" xfId="0" applyNumberFormat="1" applyFont="1" applyBorder="1" applyAlignment="1">
      <alignment vertical="center" wrapText="1"/>
    </xf>
    <xf numFmtId="1" fontId="2" fillId="0" borderId="48" xfId="0" applyNumberFormat="1" applyFont="1" applyBorder="1" applyAlignment="1">
      <alignment vertical="center" wrapText="1"/>
    </xf>
    <xf numFmtId="1" fontId="2" fillId="0" borderId="50" xfId="0" applyNumberFormat="1" applyFont="1" applyBorder="1" applyAlignment="1">
      <alignment horizontal="right" vertical="center" wrapText="1"/>
    </xf>
    <xf numFmtId="9" fontId="4" fillId="0" borderId="0" xfId="1" applyFont="1" applyBorder="1" applyAlignment="1">
      <alignment vertical="center" wrapText="1"/>
    </xf>
    <xf numFmtId="9" fontId="2" fillId="0" borderId="33" xfId="1" applyFont="1" applyBorder="1" applyAlignment="1">
      <alignment vertical="center" wrapText="1"/>
    </xf>
    <xf numFmtId="0" fontId="9" fillId="4" borderId="8" xfId="1" applyNumberFormat="1" applyFont="1" applyFill="1" applyBorder="1" applyAlignment="1" applyProtection="1">
      <alignment vertical="top"/>
      <protection locked="0"/>
    </xf>
    <xf numFmtId="0" fontId="9" fillId="4" borderId="10" xfId="1" applyNumberFormat="1" applyFont="1" applyFill="1" applyBorder="1" applyAlignment="1" applyProtection="1">
      <alignment vertical="top"/>
      <protection locked="0"/>
    </xf>
    <xf numFmtId="0" fontId="9" fillId="4" borderId="10" xfId="1" applyNumberFormat="1" applyFont="1" applyFill="1" applyBorder="1" applyAlignment="1" applyProtection="1">
      <alignment vertical="top" wrapText="1"/>
      <protection locked="0"/>
    </xf>
    <xf numFmtId="0" fontId="9" fillId="4" borderId="10" xfId="1" applyNumberFormat="1" applyFont="1" applyFill="1" applyBorder="1" applyAlignment="1" applyProtection="1">
      <protection locked="0"/>
    </xf>
    <xf numFmtId="0" fontId="11" fillId="4" borderId="10" xfId="1" applyNumberFormat="1" applyFont="1" applyFill="1" applyBorder="1" applyAlignment="1" applyProtection="1">
      <alignment vertical="center" wrapText="1"/>
      <protection locked="0"/>
    </xf>
    <xf numFmtId="0" fontId="11" fillId="4" borderId="10" xfId="1" applyNumberFormat="1" applyFont="1" applyFill="1" applyBorder="1" applyAlignment="1" applyProtection="1">
      <alignment vertical="center"/>
      <protection locked="0"/>
    </xf>
    <xf numFmtId="0" fontId="11" fillId="4" borderId="28" xfId="0" applyFont="1" applyFill="1" applyBorder="1" applyAlignment="1" applyProtection="1">
      <alignment horizontal="center" vertical="center" wrapText="1"/>
      <protection locked="0"/>
    </xf>
    <xf numFmtId="0" fontId="11" fillId="4" borderId="45" xfId="0" applyFont="1" applyFill="1" applyBorder="1" applyProtection="1"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7" fillId="4" borderId="6" xfId="0" applyFont="1" applyFill="1" applyBorder="1" applyAlignment="1" applyProtection="1">
      <alignment vertical="center"/>
      <protection locked="0"/>
    </xf>
    <xf numFmtId="0" fontId="7" fillId="4" borderId="8" xfId="0" applyFont="1" applyFill="1" applyBorder="1" applyAlignment="1" applyProtection="1">
      <alignment vertical="center"/>
      <protection locked="0"/>
    </xf>
    <xf numFmtId="0" fontId="8" fillId="4" borderId="6" xfId="0" applyFont="1" applyFill="1" applyBorder="1" applyAlignment="1" applyProtection="1">
      <alignment horizontal="left" vertical="center"/>
      <protection locked="0"/>
    </xf>
    <xf numFmtId="0" fontId="9" fillId="4" borderId="9" xfId="0" applyFont="1" applyFill="1" applyBorder="1" applyProtection="1">
      <protection locked="0"/>
    </xf>
    <xf numFmtId="0" fontId="8" fillId="4" borderId="8" xfId="0" applyFont="1" applyFill="1" applyBorder="1" applyAlignment="1" applyProtection="1">
      <alignment horizontal="left" vertical="center"/>
      <protection locked="0"/>
    </xf>
    <xf numFmtId="0" fontId="8" fillId="4" borderId="10" xfId="0" applyFont="1" applyFill="1" applyBorder="1" applyAlignment="1" applyProtection="1">
      <alignment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9" fillId="4" borderId="18" xfId="0" applyFont="1" applyFill="1" applyBorder="1" applyProtection="1">
      <protection locked="0"/>
    </xf>
    <xf numFmtId="0" fontId="9" fillId="4" borderId="19" xfId="0" applyFont="1" applyFill="1" applyBorder="1" applyProtection="1">
      <protection locked="0"/>
    </xf>
    <xf numFmtId="0" fontId="9" fillId="4" borderId="5" xfId="0" applyFont="1" applyFill="1" applyBorder="1" applyProtection="1">
      <protection locked="0"/>
    </xf>
    <xf numFmtId="0" fontId="9" fillId="4" borderId="20" xfId="0" applyFont="1" applyFill="1" applyBorder="1" applyProtection="1">
      <protection locked="0"/>
    </xf>
    <xf numFmtId="0" fontId="7" fillId="4" borderId="10" xfId="0" applyFont="1" applyFill="1" applyBorder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10" xfId="0" applyFont="1" applyFill="1" applyBorder="1" applyAlignment="1" applyProtection="1">
      <alignment vertical="center"/>
      <protection locked="0"/>
    </xf>
    <xf numFmtId="0" fontId="8" fillId="4" borderId="21" xfId="0" applyFont="1" applyFill="1" applyBorder="1" applyAlignment="1" applyProtection="1">
      <alignment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11" fillId="4" borderId="19" xfId="0" applyFont="1" applyFill="1" applyBorder="1" applyAlignment="1" applyProtection="1">
      <alignment vertical="center"/>
      <protection locked="0"/>
    </xf>
    <xf numFmtId="0" fontId="11" fillId="4" borderId="5" xfId="0" applyFont="1" applyFill="1" applyBorder="1" applyAlignment="1" applyProtection="1">
      <alignment vertical="center"/>
      <protection locked="0"/>
    </xf>
    <xf numFmtId="0" fontId="11" fillId="4" borderId="22" xfId="0" applyFont="1" applyFill="1" applyBorder="1" applyAlignment="1" applyProtection="1">
      <alignment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24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25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vertical="center"/>
      <protection locked="0"/>
    </xf>
    <xf numFmtId="0" fontId="13" fillId="4" borderId="17" xfId="0" applyFont="1" applyFill="1" applyBorder="1" applyAlignment="1" applyProtection="1">
      <alignment vertical="center"/>
      <protection locked="0"/>
    </xf>
    <xf numFmtId="0" fontId="11" fillId="4" borderId="0" xfId="0" applyFont="1" applyFill="1" applyAlignment="1" applyProtection="1">
      <alignment vertical="top"/>
      <protection locked="0"/>
    </xf>
    <xf numFmtId="0" fontId="11" fillId="4" borderId="11" xfId="0" applyFont="1" applyFill="1" applyBorder="1" applyAlignment="1" applyProtection="1">
      <alignment vertical="top"/>
      <protection locked="0"/>
    </xf>
    <xf numFmtId="0" fontId="8" fillId="4" borderId="0" xfId="0" applyFont="1" applyFill="1" applyAlignment="1" applyProtection="1">
      <alignment vertical="center" wrapText="1"/>
      <protection locked="0"/>
    </xf>
    <xf numFmtId="0" fontId="8" fillId="4" borderId="17" xfId="0" applyFont="1" applyFill="1" applyBorder="1" applyAlignment="1" applyProtection="1">
      <alignment horizontal="left" vertical="top" wrapText="1"/>
      <protection locked="0"/>
    </xf>
    <xf numFmtId="0" fontId="11" fillId="4" borderId="17" xfId="0" applyFont="1" applyFill="1" applyBorder="1" applyAlignment="1" applyProtection="1">
      <alignment horizontal="left" vertical="top" wrapText="1"/>
      <protection locked="0"/>
    </xf>
    <xf numFmtId="0" fontId="11" fillId="4" borderId="0" xfId="0" applyFont="1" applyFill="1" applyAlignment="1" applyProtection="1">
      <alignment vertical="top" wrapText="1"/>
      <protection locked="0"/>
    </xf>
    <xf numFmtId="0" fontId="11" fillId="4" borderId="11" xfId="0" applyFont="1" applyFill="1" applyBorder="1" applyAlignment="1" applyProtection="1">
      <alignment vertical="top" wrapText="1"/>
      <protection locked="0"/>
    </xf>
    <xf numFmtId="164" fontId="9" fillId="4" borderId="9" xfId="0" applyNumberFormat="1" applyFont="1" applyFill="1" applyBorder="1" applyAlignment="1" applyProtection="1">
      <alignment vertical="top"/>
      <protection locked="0"/>
    </xf>
    <xf numFmtId="164" fontId="9" fillId="4" borderId="11" xfId="0" applyNumberFormat="1" applyFont="1" applyFill="1" applyBorder="1" applyAlignment="1" applyProtection="1">
      <alignment vertical="top"/>
      <protection locked="0"/>
    </xf>
    <xf numFmtId="164" fontId="9" fillId="4" borderId="11" xfId="0" applyNumberFormat="1" applyFont="1" applyFill="1" applyBorder="1" applyAlignment="1" applyProtection="1">
      <alignment vertical="top" wrapText="1"/>
      <protection locked="0"/>
    </xf>
    <xf numFmtId="164" fontId="9" fillId="4" borderId="11" xfId="0" applyNumberFormat="1" applyFont="1" applyFill="1" applyBorder="1" applyProtection="1">
      <protection locked="0"/>
    </xf>
    <xf numFmtId="164" fontId="11" fillId="4" borderId="11" xfId="0" applyNumberFormat="1" applyFont="1" applyFill="1" applyBorder="1" applyAlignment="1" applyProtection="1">
      <alignment vertical="center" wrapText="1"/>
      <protection locked="0"/>
    </xf>
    <xf numFmtId="164" fontId="11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11" fillId="4" borderId="11" xfId="0" applyNumberFormat="1" applyFont="1" applyFill="1" applyBorder="1" applyProtection="1">
      <protection locked="0"/>
    </xf>
    <xf numFmtId="166" fontId="11" fillId="4" borderId="10" xfId="1" applyNumberFormat="1" applyFont="1" applyFill="1" applyBorder="1" applyAlignment="1" applyProtection="1">
      <alignment vertical="center" wrapText="1"/>
    </xf>
    <xf numFmtId="166" fontId="11" fillId="4" borderId="0" xfId="1" applyNumberFormat="1" applyFont="1" applyFill="1" applyBorder="1" applyAlignment="1" applyProtection="1">
      <alignment vertical="center" wrapText="1"/>
    </xf>
    <xf numFmtId="166" fontId="11" fillId="4" borderId="18" xfId="1" applyNumberFormat="1" applyFont="1" applyFill="1" applyBorder="1" applyAlignment="1" applyProtection="1">
      <alignment vertical="center" wrapText="1"/>
    </xf>
    <xf numFmtId="166" fontId="11" fillId="4" borderId="19" xfId="1" applyNumberFormat="1" applyFont="1" applyFill="1" applyBorder="1" applyAlignment="1" applyProtection="1">
      <alignment vertical="center"/>
    </xf>
    <xf numFmtId="166" fontId="11" fillId="4" borderId="5" xfId="1" applyNumberFormat="1" applyFont="1" applyFill="1" applyBorder="1" applyAlignment="1" applyProtection="1">
      <alignment vertical="center"/>
    </xf>
    <xf numFmtId="166" fontId="11" fillId="4" borderId="20" xfId="1" applyNumberFormat="1" applyFont="1" applyFill="1" applyBorder="1" applyAlignment="1" applyProtection="1">
      <alignment vertical="center"/>
    </xf>
    <xf numFmtId="0" fontId="9" fillId="4" borderId="6" xfId="0" applyFont="1" applyFill="1" applyBorder="1" applyProtection="1">
      <protection locked="0"/>
    </xf>
    <xf numFmtId="0" fontId="9" fillId="4" borderId="16" xfId="0" applyFont="1" applyFill="1" applyBorder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18" xfId="0" applyFont="1" applyFill="1" applyBorder="1" applyAlignment="1" applyProtection="1">
      <alignment vertical="center"/>
      <protection locked="0"/>
    </xf>
    <xf numFmtId="0" fontId="11" fillId="4" borderId="5" xfId="0" applyFont="1" applyFill="1" applyBorder="1" applyAlignment="1" applyProtection="1">
      <alignment vertical="center"/>
      <protection locked="0"/>
    </xf>
    <xf numFmtId="0" fontId="11" fillId="4" borderId="20" xfId="0" applyFont="1" applyFill="1" applyBorder="1" applyAlignment="1" applyProtection="1">
      <alignment vertical="center"/>
      <protection locked="0"/>
    </xf>
    <xf numFmtId="166" fontId="9" fillId="4" borderId="10" xfId="1" applyNumberFormat="1" applyFont="1" applyFill="1" applyBorder="1" applyAlignment="1" applyProtection="1"/>
    <xf numFmtId="166" fontId="9" fillId="4" borderId="0" xfId="1" applyNumberFormat="1" applyFont="1" applyFill="1" applyBorder="1" applyAlignment="1" applyProtection="1"/>
    <xf numFmtId="166" fontId="9" fillId="4" borderId="18" xfId="1" applyNumberFormat="1" applyFont="1" applyFill="1" applyBorder="1" applyAlignment="1" applyProtection="1"/>
    <xf numFmtId="0" fontId="9" fillId="4" borderId="17" xfId="0" applyFont="1" applyFill="1" applyBorder="1" applyProtection="1">
      <protection locked="0"/>
    </xf>
    <xf numFmtId="0" fontId="9" fillId="4" borderId="11" xfId="0" applyFont="1" applyFill="1" applyBorder="1" applyProtection="1">
      <protection locked="0"/>
    </xf>
    <xf numFmtId="166" fontId="9" fillId="4" borderId="8" xfId="1" applyNumberFormat="1" applyFont="1" applyFill="1" applyBorder="1" applyAlignment="1" applyProtection="1">
      <alignment vertical="top"/>
    </xf>
    <xf numFmtId="166" fontId="9" fillId="4" borderId="6" xfId="1" applyNumberFormat="1" applyFont="1" applyFill="1" applyBorder="1" applyAlignment="1" applyProtection="1">
      <alignment vertical="top"/>
    </xf>
    <xf numFmtId="166" fontId="9" fillId="4" borderId="16" xfId="1" applyNumberFormat="1" applyFont="1" applyFill="1" applyBorder="1" applyAlignment="1" applyProtection="1">
      <alignment vertical="top"/>
    </xf>
    <xf numFmtId="166" fontId="9" fillId="4" borderId="10" xfId="1" applyNumberFormat="1" applyFont="1" applyFill="1" applyBorder="1" applyAlignment="1" applyProtection="1">
      <alignment vertical="top"/>
    </xf>
    <xf numFmtId="166" fontId="9" fillId="4" borderId="0" xfId="1" applyNumberFormat="1" applyFont="1" applyFill="1" applyBorder="1" applyAlignment="1" applyProtection="1">
      <alignment vertical="top"/>
    </xf>
    <xf numFmtId="166" fontId="9" fillId="4" borderId="18" xfId="1" applyNumberFormat="1" applyFont="1" applyFill="1" applyBorder="1" applyAlignment="1" applyProtection="1">
      <alignment vertical="top"/>
    </xf>
    <xf numFmtId="166" fontId="9" fillId="4" borderId="10" xfId="1" applyNumberFormat="1" applyFont="1" applyFill="1" applyBorder="1" applyAlignment="1" applyProtection="1">
      <alignment vertical="top" wrapText="1"/>
    </xf>
    <xf numFmtId="166" fontId="9" fillId="4" borderId="0" xfId="1" applyNumberFormat="1" applyFont="1" applyFill="1" applyBorder="1" applyAlignment="1" applyProtection="1">
      <alignment vertical="top" wrapText="1"/>
    </xf>
    <xf numFmtId="166" fontId="9" fillId="4" borderId="18" xfId="1" applyNumberFormat="1" applyFont="1" applyFill="1" applyBorder="1" applyAlignment="1" applyProtection="1">
      <alignment vertical="top" wrapText="1"/>
    </xf>
    <xf numFmtId="0" fontId="9" fillId="4" borderId="17" xfId="0" applyFont="1" applyFill="1" applyBorder="1" applyAlignment="1" applyProtection="1">
      <alignment horizontal="left" vertical="top"/>
      <protection locked="0"/>
    </xf>
    <xf numFmtId="0" fontId="9" fillId="4" borderId="11" xfId="0" applyFont="1" applyFill="1" applyBorder="1" applyAlignment="1" applyProtection="1">
      <alignment horizontal="left" vertical="top"/>
      <protection locked="0"/>
    </xf>
    <xf numFmtId="0" fontId="9" fillId="4" borderId="17" xfId="0" applyFont="1" applyFill="1" applyBorder="1" applyAlignment="1" applyProtection="1">
      <alignment horizontal="left" vertical="top" wrapText="1"/>
      <protection locked="0"/>
    </xf>
    <xf numFmtId="0" fontId="9" fillId="4" borderId="11" xfId="0" applyFont="1" applyFill="1" applyBorder="1" applyAlignment="1" applyProtection="1">
      <alignment horizontal="left" vertical="top" wrapText="1"/>
      <protection locked="0"/>
    </xf>
    <xf numFmtId="0" fontId="9" fillId="4" borderId="10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vertical="center"/>
      <protection locked="0"/>
    </xf>
    <xf numFmtId="0" fontId="12" fillId="4" borderId="8" xfId="0" applyFont="1" applyFill="1" applyBorder="1" applyProtection="1">
      <protection locked="0"/>
    </xf>
    <xf numFmtId="0" fontId="12" fillId="4" borderId="6" xfId="0" applyFont="1" applyFill="1" applyBorder="1" applyProtection="1">
      <protection locked="0"/>
    </xf>
    <xf numFmtId="0" fontId="12" fillId="4" borderId="9" xfId="0" applyFont="1" applyFill="1" applyBorder="1" applyProtection="1">
      <protection locked="0"/>
    </xf>
    <xf numFmtId="0" fontId="14" fillId="4" borderId="12" xfId="0" applyFont="1" applyFill="1" applyBorder="1" applyAlignment="1" applyProtection="1">
      <alignment horizontal="center" vertical="center"/>
      <protection locked="0"/>
    </xf>
    <xf numFmtId="0" fontId="14" fillId="4" borderId="13" xfId="0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8" fillId="4" borderId="23" xfId="0" applyFont="1" applyFill="1" applyBorder="1" applyAlignment="1" applyProtection="1">
      <alignment horizontal="center" vertical="center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 applyProtection="1">
      <alignment vertical="center"/>
      <protection locked="0"/>
    </xf>
    <xf numFmtId="0" fontId="10" fillId="4" borderId="25" xfId="0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0" fontId="10" fillId="4" borderId="26" xfId="0" applyFont="1" applyFill="1" applyBorder="1" applyAlignment="1" applyProtection="1">
      <alignment horizontal="center" vertical="center"/>
      <protection locked="0"/>
    </xf>
    <xf numFmtId="0" fontId="9" fillId="4" borderId="15" xfId="0" applyFont="1" applyFill="1" applyBorder="1" applyAlignment="1" applyProtection="1">
      <alignment horizontal="left" vertical="top"/>
      <protection locked="0"/>
    </xf>
    <xf numFmtId="0" fontId="9" fillId="4" borderId="9" xfId="0" applyFont="1" applyFill="1" applyBorder="1" applyAlignment="1" applyProtection="1">
      <alignment horizontal="left" vertical="top"/>
      <protection locked="0"/>
    </xf>
    <xf numFmtId="0" fontId="9" fillId="4" borderId="17" xfId="0" applyFont="1" applyFill="1" applyBorder="1" applyAlignment="1" applyProtection="1">
      <alignment horizontal="left"/>
      <protection locked="0"/>
    </xf>
    <xf numFmtId="0" fontId="9" fillId="4" borderId="11" xfId="0" applyFont="1" applyFill="1" applyBorder="1" applyAlignment="1" applyProtection="1">
      <alignment horizontal="left"/>
      <protection locked="0"/>
    </xf>
    <xf numFmtId="0" fontId="11" fillId="4" borderId="17" xfId="0" applyFont="1" applyFill="1" applyBorder="1" applyAlignment="1" applyProtection="1">
      <alignment horizontal="left" vertical="center" wrapText="1"/>
      <protection locked="0"/>
    </xf>
    <xf numFmtId="0" fontId="11" fillId="4" borderId="11" xfId="0" applyFont="1" applyFill="1" applyBorder="1" applyAlignment="1" applyProtection="1">
      <alignment horizontal="left" vertical="center" wrapText="1"/>
      <protection locked="0"/>
    </xf>
    <xf numFmtId="0" fontId="11" fillId="4" borderId="17" xfId="0" applyFont="1" applyFill="1" applyBorder="1" applyAlignment="1" applyProtection="1">
      <alignment horizontal="left"/>
      <protection locked="0"/>
    </xf>
    <xf numFmtId="0" fontId="11" fillId="4" borderId="11" xfId="0" applyFont="1" applyFill="1" applyBorder="1" applyAlignment="1" applyProtection="1">
      <alignment horizontal="left"/>
      <protection locked="0"/>
    </xf>
    <xf numFmtId="0" fontId="11" fillId="4" borderId="32" xfId="0" applyFont="1" applyFill="1" applyBorder="1" applyAlignment="1" applyProtection="1">
      <alignment vertical="center" wrapText="1"/>
      <protection locked="0"/>
    </xf>
    <xf numFmtId="0" fontId="11" fillId="4" borderId="33" xfId="0" applyFont="1" applyFill="1" applyBorder="1" applyAlignment="1" applyProtection="1">
      <alignment vertical="center" wrapText="1"/>
      <protection locked="0"/>
    </xf>
    <xf numFmtId="0" fontId="11" fillId="4" borderId="34" xfId="0" applyFont="1" applyFill="1" applyBorder="1" applyAlignment="1" applyProtection="1">
      <alignment vertical="center" wrapText="1"/>
      <protection locked="0"/>
    </xf>
    <xf numFmtId="0" fontId="8" fillId="4" borderId="33" xfId="0" applyFont="1" applyFill="1" applyBorder="1" applyAlignment="1" applyProtection="1">
      <alignment horizontal="right" vertical="center"/>
      <protection locked="0"/>
    </xf>
    <xf numFmtId="0" fontId="8" fillId="4" borderId="35" xfId="0" applyFont="1" applyFill="1" applyBorder="1" applyAlignment="1" applyProtection="1">
      <alignment horizontal="right" vertical="center"/>
      <protection locked="0"/>
    </xf>
    <xf numFmtId="0" fontId="11" fillId="4" borderId="23" xfId="0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11" fillId="4" borderId="26" xfId="0" applyFont="1" applyFill="1" applyBorder="1" applyAlignment="1" applyProtection="1">
      <alignment horizontal="center" vertical="center"/>
      <protection locked="0"/>
    </xf>
    <xf numFmtId="167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30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31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left" vertical="center"/>
      <protection locked="0"/>
    </xf>
    <xf numFmtId="0" fontId="11" fillId="4" borderId="9" xfId="0" applyFont="1" applyFill="1" applyBorder="1" applyAlignment="1" applyProtection="1">
      <alignment horizontal="left" vertical="center"/>
      <protection locked="0"/>
    </xf>
    <xf numFmtId="0" fontId="8" fillId="4" borderId="6" xfId="0" applyFont="1" applyFill="1" applyBorder="1" applyAlignment="1" applyProtection="1">
      <alignment horizontal="right" wrapText="1"/>
      <protection locked="0"/>
    </xf>
    <xf numFmtId="0" fontId="8" fillId="4" borderId="16" xfId="0" applyFont="1" applyFill="1" applyBorder="1" applyAlignment="1" applyProtection="1">
      <alignment horizontal="right" wrapText="1"/>
      <protection locked="0"/>
    </xf>
    <xf numFmtId="0" fontId="8" fillId="4" borderId="36" xfId="0" applyFont="1" applyFill="1" applyBorder="1" applyAlignment="1" applyProtection="1">
      <alignment vertical="center" wrapText="1"/>
      <protection locked="0"/>
    </xf>
    <xf numFmtId="0" fontId="8" fillId="4" borderId="0" xfId="0" applyFont="1" applyFill="1" applyAlignment="1" applyProtection="1">
      <alignment vertical="center" wrapText="1"/>
      <protection locked="0"/>
    </xf>
    <xf numFmtId="0" fontId="8" fillId="4" borderId="37" xfId="0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1" xfId="0" applyFont="1" applyFill="1" applyBorder="1" applyAlignment="1" applyProtection="1">
      <alignment horizontal="left" vertical="top" wrapText="1"/>
      <protection locked="0"/>
    </xf>
    <xf numFmtId="0" fontId="8" fillId="4" borderId="17" xfId="0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vertical="center" wrapText="1"/>
      <protection locked="0"/>
    </xf>
    <xf numFmtId="0" fontId="11" fillId="4" borderId="11" xfId="0" applyFont="1" applyFill="1" applyBorder="1" applyAlignment="1" applyProtection="1">
      <alignment vertical="center" wrapText="1"/>
      <protection locked="0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164" fontId="10" fillId="4" borderId="16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9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9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169" fontId="8" fillId="4" borderId="6" xfId="0" applyNumberFormat="1" applyFont="1" applyFill="1" applyBorder="1" applyAlignment="1" applyProtection="1">
      <alignment horizontal="center" vertical="center"/>
      <protection locked="0"/>
    </xf>
    <xf numFmtId="164" fontId="10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 applyProtection="1">
      <alignment vertical="center" wrapText="1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8" fillId="4" borderId="51" xfId="0" applyFont="1" applyFill="1" applyBorder="1" applyAlignment="1" applyProtection="1">
      <alignment horizontal="right" vertical="center"/>
      <protection locked="0"/>
    </xf>
    <xf numFmtId="0" fontId="8" fillId="4" borderId="8" xfId="0" applyFont="1" applyFill="1" applyBorder="1" applyAlignment="1" applyProtection="1">
      <alignment horizontal="right" wrapText="1"/>
      <protection locked="0"/>
    </xf>
    <xf numFmtId="1" fontId="10" fillId="4" borderId="0" xfId="0" applyNumberFormat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7"/>
    </tableStyle>
    <tableStyle name="Table Style 2" pivot="0" count="1" xr9:uid="{7AD88003-82B4-4AB7-BB2E-C2880995DF78}">
      <tableStyleElement type="headerRow" dxfId="6"/>
    </tableStyle>
    <tableStyle name="Table Style 3" pivot="0" count="2" xr9:uid="{E99E59D0-5D5F-4C9F-A05E-577E4ED7A96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ProductTable" displayName="ProductTable" ref="A2:B15" totalsRowShown="0" headerRowDxfId="3" dataDxfId="2">
  <autoFilter ref="A2:B15" xr:uid="{8DDA87BD-2473-4DD7-B69D-87DD004E2891}"/>
  <tableColumns count="2">
    <tableColumn id="4" xr3:uid="{7D7284B1-BA7B-4FE3-9A3F-1189976D6DB5}" name="Product" dataDxfId="1"/>
    <tableColumn id="1" xr3:uid="{BB8DB25E-9A4A-4C6B-BB14-348DB5DDFFBF}" name="HSN/SAC" dataDxfId="0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Q63"/>
  <sheetViews>
    <sheetView tabSelected="1" topLeftCell="D1" zoomScale="50" zoomScaleNormal="50" workbookViewId="0">
      <selection activeCell="T13" sqref="T13"/>
    </sheetView>
  </sheetViews>
  <sheetFormatPr defaultRowHeight="17.100000000000001" customHeight="1" x14ac:dyDescent="0.4"/>
  <cols>
    <col min="1" max="1" width="3.33203125" style="35" customWidth="1"/>
    <col min="2" max="2" width="18" style="35" customWidth="1"/>
    <col min="3" max="3" width="51.77734375" style="35" customWidth="1"/>
    <col min="4" max="4" width="40.77734375" style="35" customWidth="1"/>
    <col min="5" max="5" width="19.6640625" style="35" customWidth="1"/>
    <col min="6" max="6" width="18.21875" style="35" customWidth="1"/>
    <col min="7" max="7" width="20.5546875" style="35" customWidth="1"/>
    <col min="8" max="8" width="20.21875" style="35" customWidth="1"/>
    <col min="9" max="9" width="5.88671875" style="35" customWidth="1"/>
    <col min="10" max="10" width="8.44140625" style="35" customWidth="1"/>
    <col min="11" max="11" width="8.6640625" style="35" customWidth="1"/>
    <col min="12" max="12" width="1.77734375" style="35" customWidth="1"/>
    <col min="13" max="13" width="8.109375" style="35" customWidth="1"/>
    <col min="14" max="14" width="1.77734375" style="35" customWidth="1"/>
    <col min="15" max="15" width="8.33203125" style="35" customWidth="1"/>
    <col min="16" max="16" width="2.88671875" style="35" customWidth="1"/>
    <col min="17" max="17" width="8" style="35" customWidth="1"/>
    <col min="18" max="18" width="3.33203125" style="35" customWidth="1"/>
    <col min="19" max="16384" width="8.88671875" style="35"/>
  </cols>
  <sheetData>
    <row r="13" spans="2:17" ht="17.100000000000001" customHeight="1" thickBot="1" x14ac:dyDescent="0.45"/>
    <row r="14" spans="2:17" ht="40.049999999999997" customHeight="1" x14ac:dyDescent="0.4">
      <c r="B14" s="157" t="s">
        <v>16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9"/>
    </row>
    <row r="15" spans="2:17" ht="22.2" customHeight="1" x14ac:dyDescent="0.4">
      <c r="B15" s="76" t="s">
        <v>17</v>
      </c>
      <c r="C15" s="77"/>
      <c r="D15" s="78" t="s">
        <v>18</v>
      </c>
      <c r="E15" s="79"/>
      <c r="F15" s="79"/>
      <c r="G15" s="80"/>
      <c r="H15" s="81" t="s">
        <v>41</v>
      </c>
      <c r="I15" s="31" t="s">
        <v>42</v>
      </c>
      <c r="J15" s="225" t="s">
        <v>77</v>
      </c>
      <c r="K15" s="225"/>
      <c r="L15" s="31" t="s">
        <v>19</v>
      </c>
      <c r="M15" s="31">
        <v>1234</v>
      </c>
      <c r="N15" s="31" t="s">
        <v>19</v>
      </c>
      <c r="O15" s="222">
        <v>426</v>
      </c>
      <c r="P15" s="31" t="s">
        <v>78</v>
      </c>
      <c r="Q15" s="32">
        <v>2026</v>
      </c>
    </row>
    <row r="16" spans="2:17" ht="22.2" customHeight="1" x14ac:dyDescent="0.4">
      <c r="B16" s="160" t="s">
        <v>20</v>
      </c>
      <c r="C16" s="161"/>
      <c r="D16" s="149"/>
      <c r="E16" s="150"/>
      <c r="F16" s="150"/>
      <c r="G16" s="135"/>
      <c r="H16" s="82" t="s">
        <v>43</v>
      </c>
      <c r="I16" s="37" t="s">
        <v>42</v>
      </c>
      <c r="J16" s="37"/>
      <c r="K16" s="36"/>
      <c r="L16" s="37" t="s">
        <v>19</v>
      </c>
      <c r="M16" s="38"/>
      <c r="N16" s="37" t="s">
        <v>19</v>
      </c>
      <c r="O16" s="228"/>
      <c r="P16" s="37"/>
      <c r="Q16" s="85"/>
    </row>
    <row r="17" spans="2:17" ht="22.2" customHeight="1" x14ac:dyDescent="0.4">
      <c r="B17" s="162" t="s">
        <v>21</v>
      </c>
      <c r="C17" s="151"/>
      <c r="D17" s="149"/>
      <c r="E17" s="150"/>
      <c r="F17" s="150"/>
      <c r="G17" s="135"/>
      <c r="Q17" s="85"/>
    </row>
    <row r="18" spans="2:17" ht="22.2" customHeight="1" x14ac:dyDescent="0.4">
      <c r="B18" s="83" t="s">
        <v>22</v>
      </c>
      <c r="C18" s="84"/>
      <c r="D18" s="17"/>
      <c r="G18" s="18"/>
      <c r="H18" s="86"/>
      <c r="I18" s="87"/>
      <c r="J18" s="87"/>
      <c r="K18" s="87"/>
      <c r="L18" s="87"/>
      <c r="M18" s="87"/>
      <c r="N18" s="87"/>
      <c r="O18" s="87"/>
      <c r="P18" s="87"/>
      <c r="Q18" s="88"/>
    </row>
    <row r="19" spans="2:17" ht="22.2" customHeight="1" x14ac:dyDescent="0.4">
      <c r="B19" s="83" t="s">
        <v>24</v>
      </c>
      <c r="C19" s="84"/>
      <c r="D19" s="149"/>
      <c r="E19" s="150"/>
      <c r="F19" s="150"/>
      <c r="G19" s="135"/>
      <c r="H19" s="89" t="s">
        <v>23</v>
      </c>
      <c r="I19" s="90"/>
      <c r="J19" s="90"/>
      <c r="Q19" s="85"/>
    </row>
    <row r="20" spans="2:17" ht="22.2" customHeight="1" x14ac:dyDescent="0.4">
      <c r="B20" s="83" t="s">
        <v>27</v>
      </c>
      <c r="C20" s="84"/>
      <c r="D20" s="154" t="s">
        <v>25</v>
      </c>
      <c r="E20" s="155"/>
      <c r="F20" s="155"/>
      <c r="G20" s="156"/>
      <c r="H20" s="91" t="s">
        <v>54</v>
      </c>
      <c r="I20" s="37" t="s">
        <v>42</v>
      </c>
      <c r="J20" s="37"/>
      <c r="K20" s="91" t="s">
        <v>26</v>
      </c>
      <c r="L20" s="91"/>
      <c r="M20" s="91"/>
      <c r="N20" s="91"/>
      <c r="O20" s="91"/>
      <c r="P20" s="91"/>
      <c r="Q20" s="85"/>
    </row>
    <row r="21" spans="2:17" ht="22.2" customHeight="1" x14ac:dyDescent="0.4">
      <c r="B21" s="134" t="s">
        <v>29</v>
      </c>
      <c r="C21" s="135"/>
      <c r="D21" s="92" t="s">
        <v>44</v>
      </c>
      <c r="E21" s="151" t="s">
        <v>45</v>
      </c>
      <c r="F21" s="151"/>
      <c r="G21" s="152"/>
      <c r="H21" s="91" t="s">
        <v>55</v>
      </c>
      <c r="I21" s="37" t="s">
        <v>42</v>
      </c>
      <c r="J21" s="37"/>
      <c r="K21" s="91" t="s">
        <v>28</v>
      </c>
      <c r="L21" s="91"/>
      <c r="M21" s="91"/>
      <c r="N21" s="91"/>
      <c r="O21" s="91"/>
      <c r="P21" s="91"/>
      <c r="Q21" s="85"/>
    </row>
    <row r="22" spans="2:17" ht="22.2" customHeight="1" x14ac:dyDescent="0.4">
      <c r="B22" s="39"/>
      <c r="D22" s="92" t="s">
        <v>46</v>
      </c>
      <c r="E22" s="127" t="s">
        <v>47</v>
      </c>
      <c r="F22" s="127"/>
      <c r="G22" s="153"/>
      <c r="H22" s="87"/>
      <c r="I22" s="87"/>
      <c r="J22" s="87"/>
      <c r="K22" s="87"/>
      <c r="L22" s="87"/>
      <c r="M22" s="87"/>
      <c r="N22" s="87"/>
      <c r="O22" s="87"/>
      <c r="P22" s="87"/>
      <c r="Q22" s="88"/>
    </row>
    <row r="23" spans="2:17" ht="22.2" customHeight="1" x14ac:dyDescent="0.4">
      <c r="B23" s="39"/>
      <c r="D23" s="17" t="s">
        <v>48</v>
      </c>
      <c r="E23" s="150" t="s">
        <v>49</v>
      </c>
      <c r="F23" s="150"/>
      <c r="G23" s="135"/>
      <c r="H23" s="40" t="s">
        <v>56</v>
      </c>
      <c r="I23" s="19" t="s">
        <v>42</v>
      </c>
      <c r="J23" s="19"/>
      <c r="K23" s="125"/>
      <c r="L23" s="125"/>
      <c r="M23" s="125"/>
      <c r="N23" s="125"/>
      <c r="O23" s="125"/>
      <c r="P23" s="125"/>
      <c r="Q23" s="126"/>
    </row>
    <row r="24" spans="2:17" ht="22.2" customHeight="1" x14ac:dyDescent="0.4">
      <c r="B24" s="39"/>
      <c r="D24" s="17" t="s">
        <v>50</v>
      </c>
      <c r="E24" s="150" t="s">
        <v>51</v>
      </c>
      <c r="F24" s="150"/>
      <c r="G24" s="135"/>
      <c r="H24" s="91"/>
      <c r="I24" s="91"/>
      <c r="J24" s="91"/>
      <c r="K24" s="127"/>
      <c r="L24" s="127"/>
      <c r="M24" s="127"/>
      <c r="N24" s="127"/>
      <c r="O24" s="127"/>
      <c r="P24" s="127"/>
      <c r="Q24" s="128"/>
    </row>
    <row r="25" spans="2:17" ht="22.2" customHeight="1" x14ac:dyDescent="0.4">
      <c r="B25" s="93"/>
      <c r="C25" s="94" t="s">
        <v>30</v>
      </c>
      <c r="D25" s="95" t="s">
        <v>52</v>
      </c>
      <c r="E25" s="129" t="s">
        <v>53</v>
      </c>
      <c r="F25" s="129"/>
      <c r="G25" s="165"/>
      <c r="H25" s="87"/>
      <c r="I25" s="87"/>
      <c r="J25" s="87"/>
      <c r="K25" s="129"/>
      <c r="L25" s="129"/>
      <c r="M25" s="129"/>
      <c r="N25" s="129"/>
      <c r="O25" s="129"/>
      <c r="P25" s="129"/>
      <c r="Q25" s="130"/>
    </row>
    <row r="26" spans="2:17" ht="17.100000000000001" customHeight="1" x14ac:dyDescent="0.4">
      <c r="B26" s="93"/>
      <c r="C26" s="94"/>
      <c r="D26" s="95"/>
      <c r="E26" s="96"/>
      <c r="F26" s="97"/>
      <c r="G26" s="86"/>
      <c r="H26" s="87"/>
      <c r="I26" s="87"/>
      <c r="J26" s="87"/>
      <c r="K26" s="96"/>
      <c r="L26" s="96"/>
      <c r="M26" s="96"/>
      <c r="N26" s="96"/>
      <c r="O26" s="96"/>
      <c r="P26" s="96"/>
      <c r="Q26" s="88"/>
    </row>
    <row r="27" spans="2:17" ht="50.4" customHeight="1" x14ac:dyDescent="0.4">
      <c r="B27" s="163" t="s">
        <v>63</v>
      </c>
      <c r="C27" s="164"/>
      <c r="D27" s="98" t="s">
        <v>64</v>
      </c>
      <c r="E27" s="99" t="s">
        <v>75</v>
      </c>
      <c r="F27" s="100" t="s">
        <v>31</v>
      </c>
      <c r="G27" s="101" t="s">
        <v>65</v>
      </c>
      <c r="H27" s="102" t="s">
        <v>32</v>
      </c>
      <c r="I27" s="166" t="s">
        <v>33</v>
      </c>
      <c r="J27" s="167"/>
      <c r="K27" s="167"/>
      <c r="L27" s="167"/>
      <c r="M27" s="167"/>
      <c r="N27" s="167"/>
      <c r="O27" s="167"/>
      <c r="P27" s="167"/>
      <c r="Q27" s="168"/>
    </row>
    <row r="28" spans="2:17" ht="22.2" customHeight="1" x14ac:dyDescent="0.4">
      <c r="B28" s="169"/>
      <c r="C28" s="170"/>
      <c r="D28" s="20"/>
      <c r="E28" s="112"/>
      <c r="F28" s="50" t="str">
        <f>IFERROR(VLOOKUP(B28, ProductTable[[Product]:[HSN/SAC]], 2, FALSE), "")</f>
        <v/>
      </c>
      <c r="G28" s="68"/>
      <c r="H28" s="21"/>
      <c r="I28" s="136" t="str">
        <f t="shared" ref="I28:I53" si="0">IF(E28*G28-E28*G28*H28&gt;0, E28*G28-E28*G28*H28, "")</f>
        <v/>
      </c>
      <c r="J28" s="137"/>
      <c r="K28" s="137"/>
      <c r="L28" s="137"/>
      <c r="M28" s="137"/>
      <c r="N28" s="137"/>
      <c r="O28" s="137"/>
      <c r="P28" s="137"/>
      <c r="Q28" s="138"/>
    </row>
    <row r="29" spans="2:17" ht="22.2" customHeight="1" x14ac:dyDescent="0.4">
      <c r="B29" s="171"/>
      <c r="C29" s="172"/>
      <c r="D29" s="22"/>
      <c r="E29" s="113"/>
      <c r="F29" s="51" t="str">
        <f>IFERROR(VLOOKUP(B29, ProductTable[[Product]:[HSN/SAC]], 2, FALSE), "")</f>
        <v/>
      </c>
      <c r="G29" s="69"/>
      <c r="H29" s="23"/>
      <c r="I29" s="139" t="str">
        <f t="shared" si="0"/>
        <v/>
      </c>
      <c r="J29" s="140"/>
      <c r="K29" s="140"/>
      <c r="L29" s="140"/>
      <c r="M29" s="140"/>
      <c r="N29" s="140"/>
      <c r="O29" s="140"/>
      <c r="P29" s="140"/>
      <c r="Q29" s="141"/>
    </row>
    <row r="30" spans="2:17" ht="22.2" customHeight="1" x14ac:dyDescent="0.4">
      <c r="B30" s="147"/>
      <c r="C30" s="148"/>
      <c r="D30" s="24"/>
      <c r="E30" s="114"/>
      <c r="F30" s="52" t="str">
        <f>IFERROR(VLOOKUP(B30, ProductTable[[Product]:[HSN/SAC]], 2, FALSE), "")</f>
        <v/>
      </c>
      <c r="G30" s="70"/>
      <c r="H30" s="25"/>
      <c r="I30" s="142" t="str">
        <f t="shared" si="0"/>
        <v/>
      </c>
      <c r="J30" s="143"/>
      <c r="K30" s="143"/>
      <c r="L30" s="143"/>
      <c r="M30" s="143"/>
      <c r="N30" s="143"/>
      <c r="O30" s="143"/>
      <c r="P30" s="143"/>
      <c r="Q30" s="144"/>
    </row>
    <row r="31" spans="2:17" ht="22.2" customHeight="1" x14ac:dyDescent="0.4">
      <c r="B31" s="147"/>
      <c r="C31" s="148"/>
      <c r="D31" s="24"/>
      <c r="E31" s="114"/>
      <c r="F31" s="52" t="str">
        <f>IFERROR(VLOOKUP(B31, ProductTable[[Product]:[HSN/SAC]], 2, FALSE), "")</f>
        <v/>
      </c>
      <c r="G31" s="70"/>
      <c r="H31" s="25"/>
      <c r="I31" s="142" t="str">
        <f t="shared" si="0"/>
        <v/>
      </c>
      <c r="J31" s="143"/>
      <c r="K31" s="143"/>
      <c r="L31" s="143"/>
      <c r="M31" s="143"/>
      <c r="N31" s="143"/>
      <c r="O31" s="143"/>
      <c r="P31" s="143"/>
      <c r="Q31" s="144"/>
    </row>
    <row r="32" spans="2:17" ht="22.2" customHeight="1" x14ac:dyDescent="0.4">
      <c r="B32" s="147"/>
      <c r="C32" s="148"/>
      <c r="D32" s="24"/>
      <c r="E32" s="114"/>
      <c r="F32" s="52" t="str">
        <f>IFERROR(VLOOKUP(B32, ProductTable[[Product]:[HSN/SAC]], 2, FALSE), "")</f>
        <v/>
      </c>
      <c r="G32" s="70"/>
      <c r="H32" s="25"/>
      <c r="I32" s="142" t="str">
        <f t="shared" si="0"/>
        <v/>
      </c>
      <c r="J32" s="143"/>
      <c r="K32" s="143"/>
      <c r="L32" s="143"/>
      <c r="M32" s="143"/>
      <c r="N32" s="143"/>
      <c r="O32" s="143"/>
      <c r="P32" s="143"/>
      <c r="Q32" s="144"/>
    </row>
    <row r="33" spans="2:17" ht="22.2" customHeight="1" x14ac:dyDescent="0.4">
      <c r="B33" s="147"/>
      <c r="C33" s="148"/>
      <c r="D33" s="24"/>
      <c r="E33" s="114"/>
      <c r="F33" s="52" t="str">
        <f>IFERROR(VLOOKUP(B33, ProductTable[[Product]:[HSN/SAC]], 2, FALSE), "")</f>
        <v/>
      </c>
      <c r="G33" s="70"/>
      <c r="H33" s="25"/>
      <c r="I33" s="142" t="str">
        <f t="shared" si="0"/>
        <v/>
      </c>
      <c r="J33" s="143"/>
      <c r="K33" s="143"/>
      <c r="L33" s="143"/>
      <c r="M33" s="143"/>
      <c r="N33" s="143"/>
      <c r="O33" s="143"/>
      <c r="P33" s="143"/>
      <c r="Q33" s="144"/>
    </row>
    <row r="34" spans="2:17" ht="22.2" customHeight="1" x14ac:dyDescent="0.4">
      <c r="B34" s="147"/>
      <c r="C34" s="148"/>
      <c r="D34" s="24"/>
      <c r="E34" s="114"/>
      <c r="F34" s="52" t="str">
        <f>IFERROR(VLOOKUP(B34, ProductTable[[Product]:[HSN/SAC]], 2, FALSE), "")</f>
        <v/>
      </c>
      <c r="G34" s="70"/>
      <c r="H34" s="25"/>
      <c r="I34" s="142" t="str">
        <f t="shared" si="0"/>
        <v/>
      </c>
      <c r="J34" s="143"/>
      <c r="K34" s="143"/>
      <c r="L34" s="143"/>
      <c r="M34" s="143"/>
      <c r="N34" s="143"/>
      <c r="O34" s="143"/>
      <c r="P34" s="143"/>
      <c r="Q34" s="144"/>
    </row>
    <row r="35" spans="2:17" ht="22.2" customHeight="1" x14ac:dyDescent="0.4">
      <c r="B35" s="147"/>
      <c r="C35" s="148"/>
      <c r="D35" s="24"/>
      <c r="E35" s="114"/>
      <c r="F35" s="52" t="str">
        <f>IFERROR(VLOOKUP(B35, ProductTable[[Product]:[HSN/SAC]], 2, FALSE), "")</f>
        <v/>
      </c>
      <c r="G35" s="70"/>
      <c r="H35" s="25"/>
      <c r="I35" s="142" t="str">
        <f t="shared" si="0"/>
        <v/>
      </c>
      <c r="J35" s="143"/>
      <c r="K35" s="143"/>
      <c r="L35" s="143"/>
      <c r="M35" s="143"/>
      <c r="N35" s="143"/>
      <c r="O35" s="143"/>
      <c r="P35" s="143"/>
      <c r="Q35" s="144"/>
    </row>
    <row r="36" spans="2:17" ht="22.2" customHeight="1" x14ac:dyDescent="0.4">
      <c r="B36" s="145"/>
      <c r="C36" s="146"/>
      <c r="D36" s="26"/>
      <c r="E36" s="115"/>
      <c r="F36" s="53" t="str">
        <f>IFERROR(VLOOKUP(B36, ProductTable[[Product]:[HSN/SAC]], 2, FALSE), "")</f>
        <v/>
      </c>
      <c r="G36" s="71"/>
      <c r="H36" s="27"/>
      <c r="I36" s="131" t="str">
        <f t="shared" si="0"/>
        <v/>
      </c>
      <c r="J36" s="132"/>
      <c r="K36" s="132"/>
      <c r="L36" s="132"/>
      <c r="M36" s="132"/>
      <c r="N36" s="132"/>
      <c r="O36" s="132"/>
      <c r="P36" s="132"/>
      <c r="Q36" s="133"/>
    </row>
    <row r="37" spans="2:17" ht="22.2" customHeight="1" x14ac:dyDescent="0.4">
      <c r="B37" s="171"/>
      <c r="C37" s="172"/>
      <c r="D37" s="26"/>
      <c r="E37" s="115"/>
      <c r="F37" s="53" t="str">
        <f>IFERROR(VLOOKUP(B37, ProductTable[[Product]:[HSN/SAC]], 2, FALSE), "")</f>
        <v/>
      </c>
      <c r="G37" s="71"/>
      <c r="H37" s="27"/>
      <c r="I37" s="131" t="str">
        <f t="shared" si="0"/>
        <v/>
      </c>
      <c r="J37" s="132"/>
      <c r="K37" s="132"/>
      <c r="L37" s="132"/>
      <c r="M37" s="132"/>
      <c r="N37" s="132"/>
      <c r="O37" s="132"/>
      <c r="P37" s="132"/>
      <c r="Q37" s="133"/>
    </row>
    <row r="38" spans="2:17" ht="22.2" customHeight="1" x14ac:dyDescent="0.4">
      <c r="B38" s="171"/>
      <c r="C38" s="172"/>
      <c r="D38" s="26"/>
      <c r="E38" s="115"/>
      <c r="F38" s="53" t="str">
        <f>IFERROR(VLOOKUP(B38, ProductTable[[Product]:[HSN/SAC]], 2, FALSE), "")</f>
        <v/>
      </c>
      <c r="G38" s="71"/>
      <c r="H38" s="27"/>
      <c r="I38" s="131" t="str">
        <f t="shared" si="0"/>
        <v/>
      </c>
      <c r="J38" s="132"/>
      <c r="K38" s="132"/>
      <c r="L38" s="132"/>
      <c r="M38" s="132"/>
      <c r="N38" s="132"/>
      <c r="O38" s="132"/>
      <c r="P38" s="132"/>
      <c r="Q38" s="133"/>
    </row>
    <row r="39" spans="2:17" ht="22.2" customHeight="1" x14ac:dyDescent="0.4">
      <c r="B39" s="171"/>
      <c r="C39" s="172"/>
      <c r="D39" s="26"/>
      <c r="E39" s="115"/>
      <c r="F39" s="53" t="str">
        <f>IFERROR(VLOOKUP(B39, ProductTable[[Product]:[HSN/SAC]], 2, FALSE), "")</f>
        <v/>
      </c>
      <c r="G39" s="71"/>
      <c r="H39" s="27"/>
      <c r="I39" s="131" t="str">
        <f t="shared" si="0"/>
        <v/>
      </c>
      <c r="J39" s="132"/>
      <c r="K39" s="132"/>
      <c r="L39" s="132"/>
      <c r="M39" s="132"/>
      <c r="N39" s="132"/>
      <c r="O39" s="132"/>
      <c r="P39" s="132"/>
      <c r="Q39" s="133"/>
    </row>
    <row r="40" spans="2:17" ht="22.2" customHeight="1" x14ac:dyDescent="0.4">
      <c r="B40" s="171"/>
      <c r="C40" s="172"/>
      <c r="D40" s="26"/>
      <c r="E40" s="115"/>
      <c r="F40" s="53" t="str">
        <f>IFERROR(VLOOKUP(B40, ProductTable[[Product]:[HSN/SAC]], 2, FALSE), "")</f>
        <v/>
      </c>
      <c r="G40" s="71"/>
      <c r="H40" s="27"/>
      <c r="I40" s="131" t="str">
        <f t="shared" si="0"/>
        <v/>
      </c>
      <c r="J40" s="132"/>
      <c r="K40" s="132"/>
      <c r="L40" s="132"/>
      <c r="M40" s="132"/>
      <c r="N40" s="132"/>
      <c r="O40" s="132"/>
      <c r="P40" s="132"/>
      <c r="Q40" s="133"/>
    </row>
    <row r="41" spans="2:17" ht="22.2" customHeight="1" x14ac:dyDescent="0.4">
      <c r="B41" s="171"/>
      <c r="C41" s="172"/>
      <c r="D41" s="26"/>
      <c r="E41" s="115"/>
      <c r="F41" s="53" t="str">
        <f>IFERROR(VLOOKUP(B41, ProductTable[[Product]:[HSN/SAC]], 2, FALSE), "")</f>
        <v/>
      </c>
      <c r="G41" s="71"/>
      <c r="H41" s="27"/>
      <c r="I41" s="131" t="str">
        <f t="shared" si="0"/>
        <v/>
      </c>
      <c r="J41" s="132"/>
      <c r="K41" s="132"/>
      <c r="L41" s="132"/>
      <c r="M41" s="132"/>
      <c r="N41" s="132"/>
      <c r="O41" s="132"/>
      <c r="P41" s="132"/>
      <c r="Q41" s="133"/>
    </row>
    <row r="42" spans="2:17" ht="22.2" customHeight="1" x14ac:dyDescent="0.4">
      <c r="B42" s="171"/>
      <c r="C42" s="172"/>
      <c r="D42" s="26"/>
      <c r="E42" s="115"/>
      <c r="F42" s="53" t="str">
        <f>IFERROR(VLOOKUP(B42, ProductTable[[Product]:[HSN/SAC]], 2, FALSE), "")</f>
        <v/>
      </c>
      <c r="G42" s="71"/>
      <c r="H42" s="27"/>
      <c r="I42" s="131" t="str">
        <f t="shared" si="0"/>
        <v/>
      </c>
      <c r="J42" s="132"/>
      <c r="K42" s="132"/>
      <c r="L42" s="132"/>
      <c r="M42" s="132"/>
      <c r="N42" s="132"/>
      <c r="O42" s="132"/>
      <c r="P42" s="132"/>
      <c r="Q42" s="133"/>
    </row>
    <row r="43" spans="2:17" ht="22.2" customHeight="1" x14ac:dyDescent="0.4">
      <c r="B43" s="171"/>
      <c r="C43" s="172"/>
      <c r="D43" s="26"/>
      <c r="E43" s="115"/>
      <c r="F43" s="53" t="str">
        <f>IFERROR(VLOOKUP(B43, ProductTable[[Product]:[HSN/SAC]], 2, FALSE), "")</f>
        <v/>
      </c>
      <c r="G43" s="71"/>
      <c r="H43" s="27"/>
      <c r="I43" s="131" t="str">
        <f t="shared" si="0"/>
        <v/>
      </c>
      <c r="J43" s="132"/>
      <c r="K43" s="132"/>
      <c r="L43" s="132"/>
      <c r="M43" s="132"/>
      <c r="N43" s="132"/>
      <c r="O43" s="132"/>
      <c r="P43" s="132"/>
      <c r="Q43" s="133"/>
    </row>
    <row r="44" spans="2:17" ht="22.2" customHeight="1" x14ac:dyDescent="0.4">
      <c r="B44" s="171"/>
      <c r="C44" s="172"/>
      <c r="D44" s="26"/>
      <c r="E44" s="115"/>
      <c r="F44" s="53" t="str">
        <f>IFERROR(VLOOKUP(B44, ProductTable[[Product]:[HSN/SAC]], 2, FALSE), "")</f>
        <v/>
      </c>
      <c r="G44" s="71"/>
      <c r="H44" s="27"/>
      <c r="I44" s="131" t="str">
        <f t="shared" si="0"/>
        <v/>
      </c>
      <c r="J44" s="132"/>
      <c r="K44" s="132"/>
      <c r="L44" s="132"/>
      <c r="M44" s="132"/>
      <c r="N44" s="132"/>
      <c r="O44" s="132"/>
      <c r="P44" s="132"/>
      <c r="Q44" s="133"/>
    </row>
    <row r="45" spans="2:17" ht="22.2" customHeight="1" x14ac:dyDescent="0.4">
      <c r="B45" s="171"/>
      <c r="C45" s="172"/>
      <c r="D45" s="26"/>
      <c r="E45" s="115"/>
      <c r="F45" s="53" t="str">
        <f>IFERROR(VLOOKUP(B45, ProductTable[[Product]:[HSN/SAC]], 2, FALSE), "")</f>
        <v/>
      </c>
      <c r="G45" s="71"/>
      <c r="H45" s="27"/>
      <c r="I45" s="131" t="str">
        <f t="shared" si="0"/>
        <v/>
      </c>
      <c r="J45" s="132"/>
      <c r="K45" s="132"/>
      <c r="L45" s="132"/>
      <c r="M45" s="132"/>
      <c r="N45" s="132"/>
      <c r="O45" s="132"/>
      <c r="P45" s="132"/>
      <c r="Q45" s="133"/>
    </row>
    <row r="46" spans="2:17" ht="22.2" customHeight="1" x14ac:dyDescent="0.4">
      <c r="B46" s="171"/>
      <c r="C46" s="172"/>
      <c r="D46" s="26"/>
      <c r="E46" s="115"/>
      <c r="F46" s="53" t="str">
        <f>IFERROR(VLOOKUP(B46, ProductTable[[Product]:[HSN/SAC]], 2, FALSE), "")</f>
        <v/>
      </c>
      <c r="G46" s="71"/>
      <c r="H46" s="27"/>
      <c r="I46" s="131" t="str">
        <f t="shared" si="0"/>
        <v/>
      </c>
      <c r="J46" s="132"/>
      <c r="K46" s="132"/>
      <c r="L46" s="132"/>
      <c r="M46" s="132"/>
      <c r="N46" s="132"/>
      <c r="O46" s="132"/>
      <c r="P46" s="132"/>
      <c r="Q46" s="133"/>
    </row>
    <row r="47" spans="2:17" ht="22.2" customHeight="1" x14ac:dyDescent="0.4">
      <c r="B47" s="171"/>
      <c r="C47" s="172"/>
      <c r="D47" s="26"/>
      <c r="E47" s="115"/>
      <c r="F47" s="53" t="str">
        <f>IFERROR(VLOOKUP(B47, ProductTable[[Product]:[HSN/SAC]], 2, FALSE), "")</f>
        <v/>
      </c>
      <c r="G47" s="71"/>
      <c r="H47" s="27"/>
      <c r="I47" s="131" t="str">
        <f t="shared" si="0"/>
        <v/>
      </c>
      <c r="J47" s="132"/>
      <c r="K47" s="132"/>
      <c r="L47" s="132"/>
      <c r="M47" s="132"/>
      <c r="N47" s="132"/>
      <c r="O47" s="132"/>
      <c r="P47" s="132"/>
      <c r="Q47" s="133"/>
    </row>
    <row r="48" spans="2:17" ht="22.2" customHeight="1" x14ac:dyDescent="0.4">
      <c r="B48" s="171"/>
      <c r="C48" s="172"/>
      <c r="D48" s="26"/>
      <c r="E48" s="115"/>
      <c r="F48" s="53" t="str">
        <f>IFERROR(VLOOKUP(B48, ProductTable[[Product]:[HSN/SAC]], 2, FALSE), "")</f>
        <v/>
      </c>
      <c r="G48" s="71"/>
      <c r="H48" s="27"/>
      <c r="I48" s="131" t="str">
        <f t="shared" si="0"/>
        <v/>
      </c>
      <c r="J48" s="132"/>
      <c r="K48" s="132"/>
      <c r="L48" s="132"/>
      <c r="M48" s="132"/>
      <c r="N48" s="132"/>
      <c r="O48" s="132"/>
      <c r="P48" s="132"/>
      <c r="Q48" s="133"/>
    </row>
    <row r="49" spans="2:17" ht="22.2" customHeight="1" x14ac:dyDescent="0.4">
      <c r="B49" s="173"/>
      <c r="C49" s="174"/>
      <c r="D49" s="28"/>
      <c r="E49" s="116"/>
      <c r="F49" s="54" t="str">
        <f>IFERROR(VLOOKUP(B49, ProductTable[[Product]:[HSN/SAC]], 2, FALSE), "")</f>
        <v/>
      </c>
      <c r="G49" s="72"/>
      <c r="H49" s="29"/>
      <c r="I49" s="119" t="str">
        <f t="shared" si="0"/>
        <v/>
      </c>
      <c r="J49" s="120"/>
      <c r="K49" s="120"/>
      <c r="L49" s="120"/>
      <c r="M49" s="120"/>
      <c r="N49" s="120"/>
      <c r="O49" s="120"/>
      <c r="P49" s="120"/>
      <c r="Q49" s="121"/>
    </row>
    <row r="50" spans="2:17" ht="22.2" customHeight="1" x14ac:dyDescent="0.4">
      <c r="B50" s="173"/>
      <c r="C50" s="174"/>
      <c r="D50" s="28"/>
      <c r="E50" s="116"/>
      <c r="F50" s="54" t="str">
        <f>IFERROR(VLOOKUP(B50, ProductTable[[Product]:[HSN/SAC]], 2, FALSE), "")</f>
        <v/>
      </c>
      <c r="G50" s="72"/>
      <c r="H50" s="29"/>
      <c r="I50" s="119" t="str">
        <f t="shared" si="0"/>
        <v/>
      </c>
      <c r="J50" s="120"/>
      <c r="K50" s="120"/>
      <c r="L50" s="120"/>
      <c r="M50" s="120"/>
      <c r="N50" s="120"/>
      <c r="O50" s="120"/>
      <c r="P50" s="120"/>
      <c r="Q50" s="121"/>
    </row>
    <row r="51" spans="2:17" ht="22.2" customHeight="1" x14ac:dyDescent="0.4">
      <c r="B51" s="173"/>
      <c r="C51" s="174"/>
      <c r="D51" s="28"/>
      <c r="E51" s="116"/>
      <c r="F51" s="54" t="str">
        <f>IFERROR(VLOOKUP(B51, ProductTable[[Product]:[HSN/SAC]], 2, FALSE), "")</f>
        <v/>
      </c>
      <c r="G51" s="72"/>
      <c r="H51" s="29"/>
      <c r="I51" s="119" t="str">
        <f t="shared" si="0"/>
        <v/>
      </c>
      <c r="J51" s="120"/>
      <c r="K51" s="120"/>
      <c r="L51" s="120"/>
      <c r="M51" s="120"/>
      <c r="N51" s="120"/>
      <c r="O51" s="120"/>
      <c r="P51" s="120"/>
      <c r="Q51" s="121"/>
    </row>
    <row r="52" spans="2:17" ht="22.2" customHeight="1" x14ac:dyDescent="0.4">
      <c r="B52" s="173"/>
      <c r="C52" s="174"/>
      <c r="D52" s="74"/>
      <c r="E52" s="117"/>
      <c r="F52" s="54" t="str">
        <f>IFERROR(VLOOKUP(B52, ProductTable[[Product]:[HSN/SAC]], 2, FALSE), "")</f>
        <v/>
      </c>
      <c r="G52" s="72"/>
      <c r="H52" s="29"/>
      <c r="I52" s="119" t="str">
        <f t="shared" si="0"/>
        <v/>
      </c>
      <c r="J52" s="120"/>
      <c r="K52" s="120"/>
      <c r="L52" s="120"/>
      <c r="M52" s="120"/>
      <c r="N52" s="120"/>
      <c r="O52" s="120"/>
      <c r="P52" s="120"/>
      <c r="Q52" s="121"/>
    </row>
    <row r="53" spans="2:17" ht="22.2" customHeight="1" x14ac:dyDescent="0.4">
      <c r="B53" s="175"/>
      <c r="C53" s="176"/>
      <c r="D53" s="75"/>
      <c r="E53" s="118"/>
      <c r="F53" s="54" t="str">
        <f>IFERROR(VLOOKUP(B53, ProductTable[[Product]:[HSN/SAC]], 2, FALSE), "")</f>
        <v/>
      </c>
      <c r="G53" s="73"/>
      <c r="H53" s="30"/>
      <c r="I53" s="122" t="str">
        <f t="shared" si="0"/>
        <v/>
      </c>
      <c r="J53" s="123"/>
      <c r="K53" s="123"/>
      <c r="L53" s="123"/>
      <c r="M53" s="123"/>
      <c r="N53" s="123"/>
      <c r="O53" s="123"/>
      <c r="P53" s="123"/>
      <c r="Q53" s="124"/>
    </row>
    <row r="54" spans="2:17" ht="17.100000000000001" customHeight="1" x14ac:dyDescent="0.4">
      <c r="B54" s="182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4"/>
    </row>
    <row r="55" spans="2:17" ht="30" customHeight="1" x14ac:dyDescent="0.4">
      <c r="B55" s="185" t="s">
        <v>34</v>
      </c>
      <c r="C55" s="209"/>
      <c r="D55" s="210"/>
      <c r="E55" s="210"/>
      <c r="F55" s="210"/>
      <c r="G55" s="211"/>
      <c r="H55" s="188" t="s">
        <v>35</v>
      </c>
      <c r="I55" s="201" t="str">
        <f>IF(SUM(I28:Q54)&gt;0, SUM(I28:Q54), "")</f>
        <v/>
      </c>
      <c r="J55" s="202"/>
      <c r="K55" s="202"/>
      <c r="L55" s="202"/>
      <c r="M55" s="202"/>
      <c r="N55" s="202"/>
      <c r="O55" s="202"/>
      <c r="P55" s="202"/>
      <c r="Q55" s="203"/>
    </row>
    <row r="56" spans="2:17" ht="30" customHeight="1" x14ac:dyDescent="0.4">
      <c r="B56" s="186"/>
      <c r="C56" s="212"/>
      <c r="D56" s="213"/>
      <c r="E56" s="213"/>
      <c r="F56" s="213"/>
      <c r="G56" s="214"/>
      <c r="H56" s="188"/>
      <c r="I56" s="204"/>
      <c r="J56" s="223"/>
      <c r="K56" s="223"/>
      <c r="L56" s="223"/>
      <c r="M56" s="223"/>
      <c r="N56" s="223"/>
      <c r="O56" s="223"/>
      <c r="P56" s="223"/>
      <c r="Q56" s="205"/>
    </row>
    <row r="57" spans="2:17" ht="30" customHeight="1" x14ac:dyDescent="0.4">
      <c r="B57" s="187"/>
      <c r="C57" s="215"/>
      <c r="D57" s="216"/>
      <c r="E57" s="216"/>
      <c r="F57" s="216"/>
      <c r="G57" s="217"/>
      <c r="H57" s="188"/>
      <c r="I57" s="206"/>
      <c r="J57" s="207"/>
      <c r="K57" s="207"/>
      <c r="L57" s="207"/>
      <c r="M57" s="207"/>
      <c r="N57" s="207"/>
      <c r="O57" s="207"/>
      <c r="P57" s="207"/>
      <c r="Q57" s="208"/>
    </row>
    <row r="58" spans="2:17" ht="24.6" customHeight="1" x14ac:dyDescent="0.4">
      <c r="B58" s="103" t="s">
        <v>36</v>
      </c>
      <c r="C58" s="189"/>
      <c r="D58" s="190"/>
      <c r="E58" s="227" t="s">
        <v>37</v>
      </c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2"/>
    </row>
    <row r="59" spans="2:17" ht="24.6" customHeight="1" x14ac:dyDescent="0.4">
      <c r="B59" s="104"/>
      <c r="C59" s="105"/>
      <c r="D59" s="106"/>
      <c r="E59" s="91"/>
      <c r="F59" s="193"/>
      <c r="G59" s="194"/>
      <c r="H59" s="194"/>
      <c r="I59" s="195"/>
      <c r="J59" s="224"/>
      <c r="K59" s="107"/>
      <c r="L59" s="107"/>
      <c r="M59" s="107"/>
      <c r="Q59" s="85"/>
    </row>
    <row r="60" spans="2:17" ht="24.6" customHeight="1" x14ac:dyDescent="0.4">
      <c r="B60" s="108" t="s">
        <v>38</v>
      </c>
      <c r="C60" s="196"/>
      <c r="D60" s="197"/>
      <c r="E60" s="91"/>
      <c r="F60" s="107"/>
      <c r="G60" s="107"/>
      <c r="H60" s="107"/>
      <c r="I60" s="91"/>
      <c r="J60" s="91"/>
      <c r="K60" s="91"/>
      <c r="L60" s="91"/>
      <c r="M60" s="91"/>
      <c r="Q60" s="85"/>
    </row>
    <row r="61" spans="2:17" ht="24.6" customHeight="1" x14ac:dyDescent="0.4">
      <c r="B61" s="109"/>
      <c r="C61" s="110"/>
      <c r="D61" s="111"/>
      <c r="E61" s="91"/>
      <c r="F61" s="107"/>
      <c r="G61" s="107"/>
      <c r="H61" s="107"/>
      <c r="I61" s="91"/>
      <c r="J61" s="91"/>
      <c r="K61" s="91"/>
      <c r="L61" s="91"/>
      <c r="M61" s="91"/>
      <c r="Q61" s="85"/>
    </row>
    <row r="62" spans="2:17" ht="24.6" customHeight="1" x14ac:dyDescent="0.4">
      <c r="B62" s="198" t="s">
        <v>39</v>
      </c>
      <c r="C62" s="199"/>
      <c r="D62" s="200"/>
      <c r="E62" s="91"/>
      <c r="F62" s="107"/>
      <c r="G62" s="107"/>
      <c r="H62" s="107"/>
      <c r="I62" s="91"/>
      <c r="J62" s="91"/>
      <c r="K62" s="91"/>
      <c r="L62" s="91"/>
      <c r="M62" s="91"/>
      <c r="Q62" s="85"/>
    </row>
    <row r="63" spans="2:17" ht="24.6" customHeight="1" thickBot="1" x14ac:dyDescent="0.45">
      <c r="B63" s="177"/>
      <c r="C63" s="178"/>
      <c r="D63" s="179"/>
      <c r="E63" s="226" t="s">
        <v>40</v>
      </c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/>
    </row>
  </sheetData>
  <sheetProtection algorithmName="SHA-512" hashValue="JjV3IUP5lv5gtHL71fidW6s41s8A+Sf+rRxvaz7pqsAxng8w6BC2rdmS52z1BpuU93620S3jsnFcgyXNTu5Ejw==" saltValue="sOTnyyDsRmQNYXlgbfldLA==" spinCount="100000" sheet="1" objects="1" scenarios="1"/>
  <mergeCells count="83">
    <mergeCell ref="I31:Q31"/>
    <mergeCell ref="I30:Q30"/>
    <mergeCell ref="I29:Q29"/>
    <mergeCell ref="I28:Q28"/>
    <mergeCell ref="I27:Q27"/>
    <mergeCell ref="I36:Q36"/>
    <mergeCell ref="I35:Q35"/>
    <mergeCell ref="I34:Q34"/>
    <mergeCell ref="I33:Q33"/>
    <mergeCell ref="I32:Q32"/>
    <mergeCell ref="B54:Q54"/>
    <mergeCell ref="I49:Q49"/>
    <mergeCell ref="I48:Q48"/>
    <mergeCell ref="I47:Q47"/>
    <mergeCell ref="I46:Q46"/>
    <mergeCell ref="B63:D63"/>
    <mergeCell ref="E63:Q63"/>
    <mergeCell ref="B55:B57"/>
    <mergeCell ref="H55:H57"/>
    <mergeCell ref="C58:D58"/>
    <mergeCell ref="E58:Q58"/>
    <mergeCell ref="F59:I59"/>
    <mergeCell ref="C60:D60"/>
    <mergeCell ref="B62:D62"/>
    <mergeCell ref="I55:Q57"/>
    <mergeCell ref="C55:G57"/>
    <mergeCell ref="B49:C49"/>
    <mergeCell ref="B50:C50"/>
    <mergeCell ref="B51:C51"/>
    <mergeCell ref="B52:C52"/>
    <mergeCell ref="B53:C53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5:C35"/>
    <mergeCell ref="B27:C27"/>
    <mergeCell ref="E24:G24"/>
    <mergeCell ref="E25:G25"/>
    <mergeCell ref="B28:C28"/>
    <mergeCell ref="B29:C29"/>
    <mergeCell ref="B31:C31"/>
    <mergeCell ref="B32:C32"/>
    <mergeCell ref="B33:C33"/>
    <mergeCell ref="B34:C34"/>
    <mergeCell ref="B14:Q14"/>
    <mergeCell ref="B16:C16"/>
    <mergeCell ref="D16:G16"/>
    <mergeCell ref="B17:C17"/>
    <mergeCell ref="D17:G17"/>
    <mergeCell ref="J15:K15"/>
    <mergeCell ref="D19:G19"/>
    <mergeCell ref="E21:G21"/>
    <mergeCell ref="E22:G22"/>
    <mergeCell ref="E23:G23"/>
    <mergeCell ref="D20:G20"/>
    <mergeCell ref="B21:C21"/>
    <mergeCell ref="B36:C36"/>
    <mergeCell ref="B30:C30"/>
    <mergeCell ref="I50:Q50"/>
    <mergeCell ref="I51:Q51"/>
    <mergeCell ref="I52:Q52"/>
    <mergeCell ref="I53:Q53"/>
    <mergeCell ref="K23:Q23"/>
    <mergeCell ref="K24:Q24"/>
    <mergeCell ref="K25:Q25"/>
    <mergeCell ref="I37:Q37"/>
    <mergeCell ref="I38:Q38"/>
    <mergeCell ref="I39:Q39"/>
    <mergeCell ref="I40:Q40"/>
    <mergeCell ref="I41:Q41"/>
    <mergeCell ref="I42:Q42"/>
    <mergeCell ref="I43:Q43"/>
    <mergeCell ref="I44:Q44"/>
    <mergeCell ref="I45:Q4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E60BE1-0843-4E8B-B070-229392D55C6A}">
          <x14:formula1>
            <xm:f>MasterData!$J$20:$J$27</xm:f>
          </x14:formula1>
          <xm:sqref>C58:D58</xm:sqref>
        </x14:dataValidation>
        <x14:dataValidation type="list" allowBlank="1" showInputMessage="1" showErrorMessage="1" xr:uid="{2735754A-288C-4521-912A-51A833C4F604}">
          <x14:formula1>
            <xm:f>MasterData!$H$20:$H$32</xm:f>
          </x14:formula1>
          <xm:sqref>M16</xm:sqref>
        </x14:dataValidation>
        <x14:dataValidation type="list" allowBlank="1" showInputMessage="1" showErrorMessage="1" xr:uid="{4AF1A610-FF8D-4837-8CF8-DD58504067CE}">
          <x14:formula1>
            <xm:f>MasterData!$G$20:$G$51</xm:f>
          </x14:formula1>
          <xm:sqref>K16</xm:sqref>
        </x14:dataValidation>
        <x14:dataValidation type="list" allowBlank="1" showInputMessage="1" showErrorMessage="1" xr:uid="{4D7F04D9-0334-4DD1-88FD-0F077C381C67}">
          <x14:formula1>
            <xm:f>MasterData!$I$20:$I$57</xm:f>
          </x14:formula1>
          <xm:sqref>O16</xm:sqref>
        </x14:dataValidation>
        <x14:dataValidation type="list" allowBlank="1" showInputMessage="1" showErrorMessage="1" xr:uid="{5A013755-57D4-4696-A580-8A7B50BC2863}">
          <x14:formula1>
            <xm:f>MasterData!$C$20:$C$26</xm:f>
          </x14:formula1>
          <xm:sqref>H28:H53</xm:sqref>
        </x14:dataValidation>
        <x14:dataValidation type="list" allowBlank="1" showInputMessage="1" showErrorMessage="1" xr:uid="{E33512BC-84D0-4B3E-AE4A-3ED798D2A732}">
          <x14:formula1>
            <xm:f>MasterData!$A$20:$A$33</xm:f>
          </x14:formula1>
          <xm:sqref>B28:C53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J100"/>
  <sheetViews>
    <sheetView topLeftCell="A26" zoomScale="86" zoomScaleNormal="86" workbookViewId="0">
      <selection activeCell="L18" sqref="L18"/>
    </sheetView>
  </sheetViews>
  <sheetFormatPr defaultRowHeight="15.6" x14ac:dyDescent="0.3"/>
  <cols>
    <col min="1" max="1" width="61.6640625" style="1" customWidth="1"/>
    <col min="2" max="2" width="15.5546875" style="2" customWidth="1"/>
    <col min="3" max="3" width="10.33203125" style="3" customWidth="1"/>
    <col min="4" max="5" width="10.33203125" style="8" customWidth="1"/>
    <col min="6" max="6" width="10.33203125" style="1" customWidth="1"/>
    <col min="7" max="8" width="10.33203125" style="8" customWidth="1"/>
    <col min="9" max="9" width="10.33203125" style="1" customWidth="1"/>
    <col min="10" max="10" width="25.88671875" style="1" customWidth="1"/>
    <col min="11" max="16384" width="8.88671875" style="1"/>
  </cols>
  <sheetData>
    <row r="1" spans="1:9" ht="39.6" customHeight="1" thickBot="1" x14ac:dyDescent="0.35">
      <c r="A1" s="220" t="s">
        <v>57</v>
      </c>
      <c r="B1" s="221"/>
      <c r="C1" s="55"/>
    </row>
    <row r="2" spans="1:9" ht="25.05" customHeight="1" x14ac:dyDescent="0.3">
      <c r="A2" s="41" t="s">
        <v>58</v>
      </c>
      <c r="B2" s="56" t="s">
        <v>31</v>
      </c>
      <c r="C2" s="66"/>
      <c r="D2" s="3"/>
      <c r="F2" s="8"/>
      <c r="G2" s="1"/>
      <c r="I2" s="8"/>
    </row>
    <row r="3" spans="1:9" ht="15.6" customHeight="1" x14ac:dyDescent="0.3">
      <c r="A3" s="42" t="s">
        <v>66</v>
      </c>
      <c r="B3" s="62">
        <v>95069190</v>
      </c>
      <c r="C3" s="57"/>
      <c r="D3" s="3"/>
      <c r="F3" s="8"/>
      <c r="G3" s="1"/>
      <c r="I3" s="8"/>
    </row>
    <row r="4" spans="1:9" ht="15.6" customHeight="1" x14ac:dyDescent="0.3">
      <c r="A4" s="43" t="s">
        <v>67</v>
      </c>
      <c r="B4" s="62">
        <v>95069190</v>
      </c>
      <c r="C4" s="57"/>
      <c r="D4" s="3"/>
      <c r="F4" s="8"/>
      <c r="G4" s="1"/>
      <c r="I4" s="8"/>
    </row>
    <row r="5" spans="1:9" ht="15.6" customHeight="1" x14ac:dyDescent="0.3">
      <c r="A5" s="43" t="s">
        <v>68</v>
      </c>
      <c r="B5" s="62">
        <v>95069190</v>
      </c>
      <c r="C5" s="57"/>
      <c r="D5" s="3"/>
      <c r="F5" s="8"/>
      <c r="G5" s="1"/>
      <c r="I5" s="8"/>
    </row>
    <row r="6" spans="1:9" ht="15.6" customHeight="1" x14ac:dyDescent="0.3">
      <c r="A6" s="43" t="s">
        <v>59</v>
      </c>
      <c r="B6" s="62">
        <v>95069190</v>
      </c>
      <c r="C6" s="57"/>
      <c r="D6" s="3"/>
      <c r="F6" s="8"/>
      <c r="G6" s="1"/>
      <c r="I6" s="8"/>
    </row>
    <row r="7" spans="1:9" ht="15.6" customHeight="1" x14ac:dyDescent="0.3">
      <c r="A7" s="43" t="s">
        <v>73</v>
      </c>
      <c r="B7" s="62">
        <v>95069190</v>
      </c>
      <c r="C7" s="57"/>
      <c r="D7" s="3"/>
      <c r="F7" s="8"/>
      <c r="G7" s="1"/>
      <c r="I7" s="8"/>
    </row>
    <row r="8" spans="1:9" ht="15.6" customHeight="1" x14ac:dyDescent="0.3">
      <c r="A8" s="43" t="s">
        <v>60</v>
      </c>
      <c r="B8" s="62">
        <v>95069190</v>
      </c>
      <c r="C8" s="57"/>
      <c r="D8" s="3"/>
      <c r="F8" s="8"/>
      <c r="G8" s="1"/>
      <c r="I8" s="8"/>
    </row>
    <row r="9" spans="1:9" ht="15.6" customHeight="1" x14ac:dyDescent="0.3">
      <c r="A9" s="43" t="s">
        <v>69</v>
      </c>
      <c r="B9" s="62">
        <v>95069190</v>
      </c>
      <c r="C9" s="57"/>
      <c r="D9" s="3"/>
      <c r="F9" s="8"/>
      <c r="G9" s="1"/>
      <c r="I9" s="8"/>
    </row>
    <row r="10" spans="1:9" ht="15.6" customHeight="1" x14ac:dyDescent="0.3">
      <c r="A10" s="43" t="s">
        <v>61</v>
      </c>
      <c r="B10" s="63">
        <v>90211000</v>
      </c>
      <c r="C10" s="57"/>
      <c r="D10" s="3"/>
      <c r="F10" s="8"/>
      <c r="G10" s="1"/>
      <c r="I10" s="8"/>
    </row>
    <row r="11" spans="1:9" ht="15.6" customHeight="1" x14ac:dyDescent="0.3">
      <c r="A11" s="43" t="s">
        <v>70</v>
      </c>
      <c r="B11" s="63">
        <v>90211000</v>
      </c>
      <c r="C11" s="57"/>
      <c r="D11" s="3"/>
      <c r="F11" s="8"/>
      <c r="G11" s="1"/>
      <c r="I11" s="8"/>
    </row>
    <row r="12" spans="1:9" ht="15.6" customHeight="1" x14ac:dyDescent="0.3">
      <c r="A12" s="42" t="s">
        <v>71</v>
      </c>
      <c r="B12" s="63">
        <v>90211000</v>
      </c>
      <c r="C12" s="57"/>
      <c r="D12" s="3"/>
      <c r="F12" s="8"/>
      <c r="G12" s="1"/>
      <c r="I12" s="8"/>
    </row>
    <row r="13" spans="1:9" ht="15.6" customHeight="1" x14ac:dyDescent="0.3">
      <c r="A13" s="43" t="s">
        <v>72</v>
      </c>
      <c r="B13" s="63">
        <v>95069990</v>
      </c>
      <c r="C13" s="57"/>
      <c r="D13" s="3"/>
      <c r="F13" s="8"/>
      <c r="G13" s="1"/>
      <c r="I13" s="8"/>
    </row>
    <row r="14" spans="1:9" ht="15.6" customHeight="1" x14ac:dyDescent="0.3">
      <c r="A14" s="45" t="s">
        <v>74</v>
      </c>
      <c r="B14" s="64">
        <v>21069099</v>
      </c>
      <c r="C14" s="57"/>
      <c r="D14" s="3"/>
      <c r="F14" s="8"/>
      <c r="G14" s="1"/>
      <c r="I14" s="8"/>
    </row>
    <row r="15" spans="1:9" ht="15.6" customHeight="1" thickBot="1" x14ac:dyDescent="0.35">
      <c r="A15" s="44" t="s">
        <v>62</v>
      </c>
      <c r="B15" s="65">
        <v>9506</v>
      </c>
      <c r="C15" s="57"/>
      <c r="D15" s="3"/>
      <c r="F15" s="8"/>
      <c r="G15" s="1"/>
      <c r="I15" s="8"/>
    </row>
    <row r="16" spans="1:9" x14ac:dyDescent="0.3">
      <c r="C16" s="57"/>
    </row>
    <row r="17" spans="1:10" ht="16.2" thickBot="1" x14ac:dyDescent="0.35">
      <c r="C17" s="67"/>
    </row>
    <row r="18" spans="1:10" ht="46.8" customHeight="1" x14ac:dyDescent="0.3">
      <c r="A18" s="218"/>
      <c r="B18" s="218"/>
      <c r="C18" s="219"/>
      <c r="D18" s="218"/>
      <c r="E18" s="218"/>
      <c r="F18" s="218"/>
      <c r="G18" s="218"/>
      <c r="H18" s="218"/>
      <c r="I18" s="218"/>
      <c r="J18" s="218"/>
    </row>
    <row r="19" spans="1:10" x14ac:dyDescent="0.3">
      <c r="A19" s="9" t="s">
        <v>58</v>
      </c>
      <c r="B19" s="10" t="s">
        <v>31</v>
      </c>
      <c r="C19" s="58" t="s">
        <v>76</v>
      </c>
      <c r="D19" s="11" t="s">
        <v>0</v>
      </c>
      <c r="E19" s="11" t="s">
        <v>5</v>
      </c>
      <c r="F19" s="9" t="s">
        <v>6</v>
      </c>
      <c r="G19" s="11" t="s">
        <v>1</v>
      </c>
      <c r="H19" s="11" t="s">
        <v>2</v>
      </c>
      <c r="I19" s="9" t="s">
        <v>3</v>
      </c>
      <c r="J19" s="9" t="s">
        <v>4</v>
      </c>
    </row>
    <row r="20" spans="1:10" x14ac:dyDescent="0.3">
      <c r="A20" s="12"/>
      <c r="B20" s="13"/>
      <c r="C20" s="59"/>
      <c r="D20" s="14"/>
      <c r="E20" s="14"/>
      <c r="F20" s="12"/>
      <c r="G20" s="14"/>
      <c r="H20" s="14"/>
      <c r="I20" s="12"/>
      <c r="J20" s="12"/>
    </row>
    <row r="21" spans="1:10" x14ac:dyDescent="0.3">
      <c r="A21" s="4" t="s">
        <v>66</v>
      </c>
      <c r="B21" s="46">
        <v>95069190</v>
      </c>
      <c r="C21" s="60">
        <v>0.05</v>
      </c>
      <c r="D21" s="15">
        <v>0</v>
      </c>
      <c r="E21" s="15">
        <v>0</v>
      </c>
      <c r="F21" s="4" t="s">
        <v>7</v>
      </c>
      <c r="G21" s="15">
        <v>1</v>
      </c>
      <c r="H21" s="15">
        <v>1</v>
      </c>
      <c r="I21" s="4">
        <v>2024</v>
      </c>
      <c r="J21" s="4" t="s">
        <v>9</v>
      </c>
    </row>
    <row r="22" spans="1:10" x14ac:dyDescent="0.3">
      <c r="A22" s="4" t="s">
        <v>67</v>
      </c>
      <c r="B22" s="46">
        <v>95069190</v>
      </c>
      <c r="C22" s="60">
        <v>0.1</v>
      </c>
      <c r="D22" s="15">
        <v>1</v>
      </c>
      <c r="E22" s="15">
        <v>15</v>
      </c>
      <c r="F22" s="4" t="s">
        <v>8</v>
      </c>
      <c r="G22" s="15">
        <v>2</v>
      </c>
      <c r="H22" s="15">
        <v>2</v>
      </c>
      <c r="I22" s="4">
        <v>2025</v>
      </c>
      <c r="J22" s="4" t="s">
        <v>10</v>
      </c>
    </row>
    <row r="23" spans="1:10" x14ac:dyDescent="0.3">
      <c r="A23" s="4" t="s">
        <v>68</v>
      </c>
      <c r="B23" s="46">
        <v>95069190</v>
      </c>
      <c r="C23" s="60">
        <v>0.15</v>
      </c>
      <c r="D23" s="15">
        <v>2</v>
      </c>
      <c r="E23" s="15">
        <v>30</v>
      </c>
      <c r="F23" s="4"/>
      <c r="G23" s="15">
        <v>3</v>
      </c>
      <c r="H23" s="15">
        <v>3</v>
      </c>
      <c r="I23" s="4">
        <v>2026</v>
      </c>
      <c r="J23" s="4" t="s">
        <v>11</v>
      </c>
    </row>
    <row r="24" spans="1:10" x14ac:dyDescent="0.3">
      <c r="A24" s="4" t="s">
        <v>59</v>
      </c>
      <c r="B24" s="46">
        <v>95069190</v>
      </c>
      <c r="C24" s="60">
        <v>0.2</v>
      </c>
      <c r="D24" s="15">
        <v>3</v>
      </c>
      <c r="E24" s="15">
        <v>45</v>
      </c>
      <c r="F24" s="4"/>
      <c r="G24" s="15">
        <v>4</v>
      </c>
      <c r="H24" s="15">
        <v>4</v>
      </c>
      <c r="I24" s="4">
        <v>2027</v>
      </c>
      <c r="J24" s="4" t="s">
        <v>12</v>
      </c>
    </row>
    <row r="25" spans="1:10" x14ac:dyDescent="0.3">
      <c r="A25" s="4" t="s">
        <v>73</v>
      </c>
      <c r="B25" s="46">
        <v>95069190</v>
      </c>
      <c r="C25" s="60">
        <v>0.25</v>
      </c>
      <c r="D25" s="15">
        <v>4</v>
      </c>
      <c r="E25" s="15"/>
      <c r="F25" s="4"/>
      <c r="G25" s="15">
        <v>5</v>
      </c>
      <c r="H25" s="15">
        <v>5</v>
      </c>
      <c r="I25" s="4">
        <v>2028</v>
      </c>
      <c r="J25" s="4" t="s">
        <v>13</v>
      </c>
    </row>
    <row r="26" spans="1:10" x14ac:dyDescent="0.3">
      <c r="A26" s="4" t="s">
        <v>60</v>
      </c>
      <c r="B26" s="46">
        <v>95069190</v>
      </c>
      <c r="C26" s="60">
        <v>0.3</v>
      </c>
      <c r="D26" s="15">
        <v>5</v>
      </c>
      <c r="E26" s="15"/>
      <c r="F26" s="4"/>
      <c r="G26" s="15">
        <v>6</v>
      </c>
      <c r="H26" s="15">
        <v>6</v>
      </c>
      <c r="I26" s="4">
        <v>2029</v>
      </c>
      <c r="J26" s="4" t="s">
        <v>14</v>
      </c>
    </row>
    <row r="27" spans="1:10" x14ac:dyDescent="0.3">
      <c r="A27" s="4" t="s">
        <v>69</v>
      </c>
      <c r="B27" s="46">
        <v>95069190</v>
      </c>
      <c r="C27" s="60"/>
      <c r="D27" s="15">
        <v>6</v>
      </c>
      <c r="E27" s="15"/>
      <c r="F27" s="4"/>
      <c r="G27" s="15">
        <v>7</v>
      </c>
      <c r="H27" s="15">
        <v>7</v>
      </c>
      <c r="I27" s="4">
        <v>2030</v>
      </c>
      <c r="J27" s="4" t="s">
        <v>15</v>
      </c>
    </row>
    <row r="28" spans="1:10" x14ac:dyDescent="0.3">
      <c r="A28" s="4" t="s">
        <v>61</v>
      </c>
      <c r="B28" s="46">
        <v>90211000</v>
      </c>
      <c r="C28" s="60"/>
      <c r="D28" s="15">
        <v>7</v>
      </c>
      <c r="E28" s="15"/>
      <c r="F28" s="4"/>
      <c r="G28" s="15">
        <v>8</v>
      </c>
      <c r="H28" s="15">
        <v>8</v>
      </c>
      <c r="I28" s="4">
        <v>2031</v>
      </c>
      <c r="J28" s="4"/>
    </row>
    <row r="29" spans="1:10" x14ac:dyDescent="0.3">
      <c r="A29" s="4" t="s">
        <v>70</v>
      </c>
      <c r="B29" s="46">
        <v>90211000</v>
      </c>
      <c r="C29" s="60"/>
      <c r="D29" s="15">
        <v>8</v>
      </c>
      <c r="E29" s="15"/>
      <c r="F29" s="4"/>
      <c r="G29" s="15">
        <v>9</v>
      </c>
      <c r="H29" s="15">
        <v>9</v>
      </c>
      <c r="I29" s="4">
        <v>2032</v>
      </c>
      <c r="J29" s="4"/>
    </row>
    <row r="30" spans="1:10" x14ac:dyDescent="0.3">
      <c r="A30" s="4" t="s">
        <v>71</v>
      </c>
      <c r="B30" s="46">
        <v>90211000</v>
      </c>
      <c r="C30" s="60"/>
      <c r="D30" s="15">
        <v>9</v>
      </c>
      <c r="E30" s="15"/>
      <c r="F30" s="4"/>
      <c r="G30" s="15">
        <v>10</v>
      </c>
      <c r="H30" s="15">
        <v>10</v>
      </c>
      <c r="I30" s="4">
        <v>2033</v>
      </c>
      <c r="J30" s="4"/>
    </row>
    <row r="31" spans="1:10" x14ac:dyDescent="0.3">
      <c r="A31" s="4" t="s">
        <v>72</v>
      </c>
      <c r="B31" s="46">
        <v>95069990</v>
      </c>
      <c r="C31" s="60"/>
      <c r="D31" s="15">
        <v>10</v>
      </c>
      <c r="E31" s="15"/>
      <c r="F31" s="4"/>
      <c r="G31" s="15">
        <v>11</v>
      </c>
      <c r="H31" s="15">
        <v>11</v>
      </c>
      <c r="I31" s="4">
        <v>2034</v>
      </c>
      <c r="J31" s="4"/>
    </row>
    <row r="32" spans="1:10" x14ac:dyDescent="0.3">
      <c r="A32" s="4" t="s">
        <v>74</v>
      </c>
      <c r="B32" s="46">
        <v>21069099</v>
      </c>
      <c r="C32" s="60"/>
      <c r="D32" s="15">
        <v>11</v>
      </c>
      <c r="E32" s="15"/>
      <c r="F32" s="4"/>
      <c r="G32" s="15">
        <v>12</v>
      </c>
      <c r="H32" s="15">
        <v>12</v>
      </c>
      <c r="I32" s="4">
        <v>2035</v>
      </c>
      <c r="J32" s="4"/>
    </row>
    <row r="33" spans="1:10" x14ac:dyDescent="0.3">
      <c r="A33" s="4" t="s">
        <v>62</v>
      </c>
      <c r="B33" s="49">
        <v>9506</v>
      </c>
      <c r="C33" s="60"/>
      <c r="D33" s="15">
        <v>12</v>
      </c>
      <c r="E33" s="15"/>
      <c r="F33" s="4"/>
      <c r="G33" s="15">
        <v>13</v>
      </c>
      <c r="H33" s="15"/>
      <c r="I33" s="4">
        <v>2036</v>
      </c>
      <c r="J33" s="4"/>
    </row>
    <row r="34" spans="1:10" x14ac:dyDescent="0.3">
      <c r="A34" s="47"/>
      <c r="B34" s="48"/>
      <c r="C34" s="60"/>
      <c r="D34" s="4"/>
      <c r="E34" s="15"/>
      <c r="F34" s="4"/>
      <c r="G34" s="15">
        <v>14</v>
      </c>
      <c r="H34" s="15"/>
      <c r="I34" s="4">
        <v>2037</v>
      </c>
      <c r="J34" s="4"/>
    </row>
    <row r="35" spans="1:10" x14ac:dyDescent="0.3">
      <c r="A35" s="4"/>
      <c r="B35" s="6"/>
      <c r="C35" s="60"/>
      <c r="D35" s="1"/>
      <c r="E35" s="15"/>
      <c r="F35" s="4"/>
      <c r="G35" s="15">
        <v>15</v>
      </c>
      <c r="H35" s="15"/>
      <c r="I35" s="4">
        <v>2038</v>
      </c>
      <c r="J35" s="4"/>
    </row>
    <row r="36" spans="1:10" x14ac:dyDescent="0.3">
      <c r="A36" s="4"/>
      <c r="B36" s="6"/>
      <c r="C36" s="60"/>
      <c r="D36" s="15"/>
      <c r="E36" s="15"/>
      <c r="F36" s="4"/>
      <c r="G36" s="15">
        <v>16</v>
      </c>
      <c r="H36" s="15"/>
      <c r="I36" s="4">
        <v>2039</v>
      </c>
      <c r="J36" s="4"/>
    </row>
    <row r="37" spans="1:10" x14ac:dyDescent="0.3">
      <c r="A37" s="4"/>
      <c r="B37" s="6"/>
      <c r="C37" s="60"/>
      <c r="D37" s="15"/>
      <c r="E37" s="15"/>
      <c r="F37" s="4"/>
      <c r="G37" s="15">
        <v>17</v>
      </c>
      <c r="H37" s="15"/>
      <c r="I37" s="4">
        <v>2040</v>
      </c>
      <c r="J37" s="4"/>
    </row>
    <row r="38" spans="1:10" x14ac:dyDescent="0.3">
      <c r="A38" s="4"/>
      <c r="B38" s="6"/>
      <c r="C38" s="60"/>
      <c r="D38" s="15"/>
      <c r="E38" s="15"/>
      <c r="F38" s="4"/>
      <c r="G38" s="15">
        <v>18</v>
      </c>
      <c r="H38" s="15"/>
      <c r="I38" s="4">
        <v>2041</v>
      </c>
      <c r="J38" s="4"/>
    </row>
    <row r="39" spans="1:10" x14ac:dyDescent="0.3">
      <c r="A39" s="4"/>
      <c r="B39" s="6"/>
      <c r="C39" s="60"/>
      <c r="D39" s="15"/>
      <c r="E39" s="15"/>
      <c r="F39" s="4"/>
      <c r="G39" s="15">
        <v>19</v>
      </c>
      <c r="H39" s="15"/>
      <c r="I39" s="4">
        <v>2042</v>
      </c>
      <c r="J39" s="4"/>
    </row>
    <row r="40" spans="1:10" x14ac:dyDescent="0.3">
      <c r="A40" s="4"/>
      <c r="B40" s="6"/>
      <c r="C40" s="60"/>
      <c r="D40" s="15"/>
      <c r="E40" s="15"/>
      <c r="F40" s="4"/>
      <c r="G40" s="15">
        <v>20</v>
      </c>
      <c r="H40" s="15"/>
      <c r="I40" s="4">
        <v>2043</v>
      </c>
      <c r="J40" s="4"/>
    </row>
    <row r="41" spans="1:10" x14ac:dyDescent="0.3">
      <c r="A41" s="4"/>
      <c r="B41" s="6"/>
      <c r="C41" s="60"/>
      <c r="D41" s="15"/>
      <c r="E41" s="15"/>
      <c r="F41" s="4"/>
      <c r="G41" s="15">
        <v>21</v>
      </c>
      <c r="H41" s="15"/>
      <c r="I41" s="4">
        <v>2044</v>
      </c>
      <c r="J41" s="4"/>
    </row>
    <row r="42" spans="1:10" x14ac:dyDescent="0.3">
      <c r="A42" s="4"/>
      <c r="B42" s="6"/>
      <c r="C42" s="60"/>
      <c r="D42" s="15"/>
      <c r="E42" s="15"/>
      <c r="F42" s="4"/>
      <c r="G42" s="15">
        <v>22</v>
      </c>
      <c r="H42" s="15"/>
      <c r="I42" s="4">
        <v>2045</v>
      </c>
      <c r="J42" s="4"/>
    </row>
    <row r="43" spans="1:10" x14ac:dyDescent="0.3">
      <c r="A43" s="4"/>
      <c r="B43" s="6"/>
      <c r="C43" s="60"/>
      <c r="D43" s="15"/>
      <c r="E43" s="15"/>
      <c r="F43" s="4"/>
      <c r="G43" s="15">
        <v>23</v>
      </c>
      <c r="H43" s="15"/>
      <c r="I43" s="4">
        <v>2046</v>
      </c>
      <c r="J43" s="4"/>
    </row>
    <row r="44" spans="1:10" x14ac:dyDescent="0.3">
      <c r="A44" s="4"/>
      <c r="B44" s="6"/>
      <c r="C44" s="60"/>
      <c r="D44" s="15"/>
      <c r="E44" s="15"/>
      <c r="F44" s="4"/>
      <c r="G44" s="15">
        <v>24</v>
      </c>
      <c r="H44" s="15"/>
      <c r="I44" s="4">
        <v>2047</v>
      </c>
      <c r="J44" s="4"/>
    </row>
    <row r="45" spans="1:10" x14ac:dyDescent="0.3">
      <c r="A45" s="4"/>
      <c r="B45" s="6"/>
      <c r="C45" s="60"/>
      <c r="D45" s="15"/>
      <c r="E45" s="15"/>
      <c r="F45" s="4"/>
      <c r="G45" s="15">
        <v>25</v>
      </c>
      <c r="H45" s="15"/>
      <c r="I45" s="4">
        <v>2048</v>
      </c>
      <c r="J45" s="4"/>
    </row>
    <row r="46" spans="1:10" x14ac:dyDescent="0.3">
      <c r="A46" s="4"/>
      <c r="B46" s="6"/>
      <c r="C46" s="60"/>
      <c r="D46" s="15"/>
      <c r="E46" s="15"/>
      <c r="F46" s="4"/>
      <c r="G46" s="15">
        <v>26</v>
      </c>
      <c r="H46" s="15"/>
      <c r="I46" s="4">
        <v>2049</v>
      </c>
      <c r="J46" s="4"/>
    </row>
    <row r="47" spans="1:10" x14ac:dyDescent="0.3">
      <c r="A47" s="4"/>
      <c r="B47" s="6"/>
      <c r="C47" s="60"/>
      <c r="D47" s="15"/>
      <c r="E47" s="15"/>
      <c r="F47" s="4"/>
      <c r="G47" s="15">
        <v>27</v>
      </c>
      <c r="H47" s="15"/>
      <c r="I47" s="4">
        <v>2050</v>
      </c>
      <c r="J47" s="4"/>
    </row>
    <row r="48" spans="1:10" x14ac:dyDescent="0.3">
      <c r="A48" s="4"/>
      <c r="B48" s="6"/>
      <c r="C48" s="60"/>
      <c r="D48" s="15"/>
      <c r="E48" s="15"/>
      <c r="F48" s="4"/>
      <c r="G48" s="15">
        <v>28</v>
      </c>
      <c r="H48" s="15"/>
      <c r="I48" s="4">
        <v>2051</v>
      </c>
      <c r="J48" s="4"/>
    </row>
    <row r="49" spans="1:10" x14ac:dyDescent="0.3">
      <c r="A49" s="4"/>
      <c r="B49" s="6"/>
      <c r="C49" s="60"/>
      <c r="D49" s="15"/>
      <c r="E49" s="15"/>
      <c r="F49" s="4"/>
      <c r="G49" s="15">
        <v>29</v>
      </c>
      <c r="H49" s="15"/>
      <c r="I49" s="4">
        <v>2052</v>
      </c>
      <c r="J49" s="4"/>
    </row>
    <row r="50" spans="1:10" x14ac:dyDescent="0.3">
      <c r="A50" s="4"/>
      <c r="B50" s="6"/>
      <c r="C50" s="60"/>
      <c r="D50" s="15"/>
      <c r="E50" s="15"/>
      <c r="F50" s="4"/>
      <c r="G50" s="15">
        <v>30</v>
      </c>
      <c r="H50" s="15"/>
      <c r="I50" s="4">
        <v>2053</v>
      </c>
      <c r="J50" s="4"/>
    </row>
    <row r="51" spans="1:10" x14ac:dyDescent="0.3">
      <c r="A51" s="4"/>
      <c r="B51" s="6"/>
      <c r="C51" s="60"/>
      <c r="D51" s="15"/>
      <c r="E51" s="15"/>
      <c r="F51" s="4"/>
      <c r="G51" s="15">
        <v>31</v>
      </c>
      <c r="H51" s="15"/>
      <c r="I51" s="4">
        <v>2054</v>
      </c>
      <c r="J51" s="4"/>
    </row>
    <row r="52" spans="1:10" x14ac:dyDescent="0.3">
      <c r="A52" s="4"/>
      <c r="B52" s="6"/>
      <c r="C52" s="60"/>
      <c r="D52" s="15"/>
      <c r="E52" s="15"/>
      <c r="F52" s="4"/>
      <c r="G52" s="15"/>
      <c r="H52" s="15"/>
      <c r="I52" s="4">
        <v>2055</v>
      </c>
      <c r="J52" s="4"/>
    </row>
    <row r="53" spans="1:10" x14ac:dyDescent="0.3">
      <c r="A53" s="4"/>
      <c r="B53" s="6"/>
      <c r="C53" s="60"/>
      <c r="D53" s="15"/>
      <c r="E53" s="15"/>
      <c r="F53" s="4"/>
      <c r="G53" s="15"/>
      <c r="H53" s="15"/>
      <c r="I53" s="4">
        <v>2056</v>
      </c>
      <c r="J53" s="4"/>
    </row>
    <row r="54" spans="1:10" x14ac:dyDescent="0.3">
      <c r="A54" s="4"/>
      <c r="B54" s="6"/>
      <c r="C54" s="60"/>
      <c r="D54" s="15"/>
      <c r="E54" s="15"/>
      <c r="F54" s="4"/>
      <c r="G54" s="15"/>
      <c r="H54" s="15"/>
      <c r="I54" s="4">
        <v>2057</v>
      </c>
      <c r="J54" s="4"/>
    </row>
    <row r="55" spans="1:10" x14ac:dyDescent="0.3">
      <c r="A55" s="4"/>
      <c r="B55" s="6"/>
      <c r="C55" s="60"/>
      <c r="D55" s="15"/>
      <c r="E55" s="15"/>
      <c r="F55" s="4"/>
      <c r="G55" s="15"/>
      <c r="H55" s="15"/>
      <c r="I55" s="4">
        <v>2058</v>
      </c>
      <c r="J55" s="4"/>
    </row>
    <row r="56" spans="1:10" x14ac:dyDescent="0.3">
      <c r="A56" s="4"/>
      <c r="B56" s="6"/>
      <c r="C56" s="60"/>
      <c r="D56" s="15"/>
      <c r="E56" s="15"/>
      <c r="F56" s="4"/>
      <c r="G56" s="15"/>
      <c r="H56" s="15"/>
      <c r="I56" s="4">
        <v>2059</v>
      </c>
      <c r="J56" s="4"/>
    </row>
    <row r="57" spans="1:10" x14ac:dyDescent="0.3">
      <c r="A57" s="4"/>
      <c r="B57" s="6"/>
      <c r="C57" s="60"/>
      <c r="D57" s="15"/>
      <c r="E57" s="15"/>
      <c r="F57" s="4"/>
      <c r="G57" s="33"/>
      <c r="H57" s="33"/>
      <c r="I57" s="34">
        <v>2060</v>
      </c>
      <c r="J57" s="4"/>
    </row>
    <row r="58" spans="1:10" x14ac:dyDescent="0.3">
      <c r="A58" s="4"/>
      <c r="B58" s="6"/>
      <c r="C58" s="60"/>
      <c r="D58" s="15"/>
      <c r="E58" s="15"/>
      <c r="F58" s="4"/>
      <c r="G58" s="15"/>
      <c r="H58" s="15"/>
      <c r="I58" s="4"/>
      <c r="J58" s="4"/>
    </row>
    <row r="59" spans="1:10" x14ac:dyDescent="0.3">
      <c r="A59" s="4"/>
      <c r="B59" s="6"/>
      <c r="C59" s="60"/>
      <c r="D59" s="15"/>
      <c r="E59" s="15"/>
      <c r="F59" s="4"/>
      <c r="G59" s="15"/>
      <c r="H59" s="15"/>
      <c r="I59" s="4"/>
      <c r="J59" s="4"/>
    </row>
    <row r="60" spans="1:10" x14ac:dyDescent="0.3">
      <c r="A60" s="4"/>
      <c r="B60" s="6"/>
      <c r="C60" s="60"/>
      <c r="D60" s="15"/>
      <c r="E60" s="15"/>
      <c r="F60" s="4"/>
      <c r="G60" s="15"/>
      <c r="H60" s="15"/>
      <c r="I60" s="4"/>
      <c r="J60" s="4"/>
    </row>
    <row r="61" spans="1:10" ht="16.2" thickBot="1" x14ac:dyDescent="0.35">
      <c r="A61" s="5"/>
      <c r="B61" s="7"/>
      <c r="C61" s="61"/>
      <c r="D61" s="16"/>
      <c r="E61" s="16"/>
      <c r="F61" s="5"/>
      <c r="G61" s="16"/>
      <c r="H61" s="16"/>
      <c r="I61" s="5"/>
      <c r="J61" s="5"/>
    </row>
    <row r="62" spans="1:10" x14ac:dyDescent="0.3">
      <c r="C62" s="1"/>
    </row>
    <row r="63" spans="1:10" x14ac:dyDescent="0.3">
      <c r="C63" s="1"/>
    </row>
    <row r="64" spans="1:10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</sheetData>
  <mergeCells count="2">
    <mergeCell ref="A18:J18"/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2026-05-02T04:18:20Z</dcterms:modified>
</cp:coreProperties>
</file>