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NCHAL SHARMA\Desktop\MBD SYSTEMS\"/>
    </mc:Choice>
  </mc:AlternateContent>
  <xr:revisionPtr revIDLastSave="0" documentId="13_ncr:1_{D7EA24A0-F5D0-4D30-8CDA-40D34820D60B}" xr6:coauthVersionLast="47" xr6:coauthVersionMax="47" xr10:uidLastSave="{00000000-0000-0000-0000-000000000000}"/>
  <bookViews>
    <workbookView xWindow="-108" yWindow="-108" windowWidth="23256" windowHeight="12456" activeTab="1" xr2:uid="{85AD1E11-4D1D-4707-8CCC-CD456DDD2297}"/>
  </bookViews>
  <sheets>
    <sheet name="InvoiceGenerator" sheetId="2" r:id="rId1"/>
    <sheet name="Master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" l="1"/>
  <c r="E29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F54" i="2" l="1"/>
  <c r="K54" i="2" l="1"/>
  <c r="K57" i="2" s="1"/>
</calcChain>
</file>

<file path=xl/sharedStrings.xml><?xml version="1.0" encoding="utf-8"?>
<sst xmlns="http://schemas.openxmlformats.org/spreadsheetml/2006/main" count="237" uniqueCount="158">
  <si>
    <t>Department</t>
  </si>
  <si>
    <t>Service</t>
  </si>
  <si>
    <t>Cost</t>
  </si>
  <si>
    <t>GST</t>
  </si>
  <si>
    <t>Medical</t>
  </si>
  <si>
    <t>Medical Consultation</t>
  </si>
  <si>
    <t>Physiotherapy</t>
  </si>
  <si>
    <t>Massage</t>
  </si>
  <si>
    <t>Yoga</t>
  </si>
  <si>
    <t>Specialised Yoga</t>
  </si>
  <si>
    <t>Counselling</t>
  </si>
  <si>
    <t>Nutrition</t>
  </si>
  <si>
    <t>Nutrition Consultation (Associate Nutritionist)</t>
  </si>
  <si>
    <t>S&amp;C</t>
  </si>
  <si>
    <t>Strength &amp; Conditioning</t>
  </si>
  <si>
    <t>Consultant</t>
  </si>
  <si>
    <t>Prerna Chhugani</t>
  </si>
  <si>
    <t>Yasir Zahid</t>
  </si>
  <si>
    <t>Physiotherapy Consultation &amp; Session (Head Physiotherapist)</t>
  </si>
  <si>
    <t>Physiotherapy Session (Head Physiotherapist)</t>
  </si>
  <si>
    <t>Dry Needling</t>
  </si>
  <si>
    <t>Therapeutic Ultrasound</t>
  </si>
  <si>
    <t>K-Taping / Dry Needling / Therapeutic Ultrasound</t>
  </si>
  <si>
    <t>K-Taping</t>
  </si>
  <si>
    <t>Devanshi Vira</t>
  </si>
  <si>
    <t>Tasneem Ansari</t>
  </si>
  <si>
    <t>Deepa Mourya</t>
  </si>
  <si>
    <t xml:space="preserve">Aanchal Sharma </t>
  </si>
  <si>
    <t>Sanya Jain</t>
  </si>
  <si>
    <t>Sanjay More</t>
  </si>
  <si>
    <t>Dipali Sawant</t>
  </si>
  <si>
    <t>Harshali Karkare</t>
  </si>
  <si>
    <t>Sports / Deep Tissue Massage (30 min)</t>
  </si>
  <si>
    <t>Sports / Deep Tissue Massage (60 min)</t>
  </si>
  <si>
    <t>Sports / Deep Tissue Massage (90 min)</t>
  </si>
  <si>
    <t>Sports / Deep Tissue Massage Home Visit (30 min)</t>
  </si>
  <si>
    <t>Sports / Deep Tissue Massage Home Visit (60 min)</t>
  </si>
  <si>
    <t>Sports / Deep Tissue Massage Home Visit (90 min)</t>
  </si>
  <si>
    <t>Naina Daryanani</t>
  </si>
  <si>
    <t>Shivli Malani</t>
  </si>
  <si>
    <t>Yoga &amp; Sound Bath</t>
  </si>
  <si>
    <t>Yoga &amp; Sound Healing / Breathwork</t>
  </si>
  <si>
    <t>Wellness Yoga (with Sound Bath &amp; Breathwork)</t>
  </si>
  <si>
    <t>Rehabilitation Session (Head Physiotherapist)</t>
  </si>
  <si>
    <t>Physiotherapy Consultation (Head Physiotherapist)</t>
  </si>
  <si>
    <t>Physiotherapy Home Visit (Head Physiotherapist)</t>
  </si>
  <si>
    <t>Online Physiotherapy Session (Head Physiotherapist)</t>
  </si>
  <si>
    <t>Physiotherapy Consultation &amp; Session (Senior Physiotherapist)</t>
  </si>
  <si>
    <t>Physiotherapy Session (Senior Physiotherapist)</t>
  </si>
  <si>
    <t>Rehabilitation Session (Senior Physiotherapist)</t>
  </si>
  <si>
    <t>Physiotherapy Consultation (Senior Physiotherapist)</t>
  </si>
  <si>
    <t>Physiotherapy Home Visit (Senior Physiotherapist)</t>
  </si>
  <si>
    <t>Online Physiotherapy Session (Senior Physiotherapist)</t>
  </si>
  <si>
    <t>Group Yoga (Trio)</t>
  </si>
  <si>
    <t>Group Yoga (Duo)</t>
  </si>
  <si>
    <t>Disha Chandan</t>
  </si>
  <si>
    <t xml:space="preserve">Integrated Counselling </t>
  </si>
  <si>
    <t>Integrated Counselling Home Visit</t>
  </si>
  <si>
    <t>Shruti Vibhakar</t>
  </si>
  <si>
    <t>Emotional Healing &amp; Behavioural Change Counselling</t>
  </si>
  <si>
    <t>Sheetal Somaiya</t>
  </si>
  <si>
    <t>Nutrition Consultation (Senior Nutritonist)</t>
  </si>
  <si>
    <t>Follow up Nutrition Session (Senior Nutritionist)</t>
  </si>
  <si>
    <t>Rajal Shah</t>
  </si>
  <si>
    <t>Follow up Nutrition Session (Associate Nutritionist)</t>
  </si>
  <si>
    <t>Danesh Doctor</t>
  </si>
  <si>
    <t>Discount</t>
  </si>
  <si>
    <t>Time</t>
  </si>
  <si>
    <t>Date</t>
  </si>
  <si>
    <t>Month</t>
  </si>
  <si>
    <t>Year</t>
  </si>
  <si>
    <t>Payment Option</t>
  </si>
  <si>
    <t>Minute</t>
  </si>
  <si>
    <t>SERVICE TABLE</t>
  </si>
  <si>
    <t>DROPDOWN OPTION LIST</t>
  </si>
  <si>
    <t>AM/PM</t>
  </si>
  <si>
    <t>AM</t>
  </si>
  <si>
    <t>PM</t>
  </si>
  <si>
    <t>Cash</t>
  </si>
  <si>
    <t>Card</t>
  </si>
  <si>
    <t>Cheque</t>
  </si>
  <si>
    <t>NEFT / Bank Transfer</t>
  </si>
  <si>
    <t>UPI</t>
  </si>
  <si>
    <t>Razor Pay</t>
  </si>
  <si>
    <t>Other</t>
  </si>
  <si>
    <t>INVOICE</t>
  </si>
  <si>
    <t>Name of Company</t>
  </si>
  <si>
    <t>Name of Client</t>
  </si>
  <si>
    <t>/</t>
  </si>
  <si>
    <t>Movement By Design</t>
  </si>
  <si>
    <t xml:space="preserve">B 5, 1st, Floor, </t>
  </si>
  <si>
    <t>Ionic building,</t>
  </si>
  <si>
    <t>Taxation Details</t>
  </si>
  <si>
    <t>Justice Vyas Marg,</t>
  </si>
  <si>
    <t>Account Details</t>
  </si>
  <si>
    <t>AAYFM1598H</t>
  </si>
  <si>
    <t>Mumbai - 400 005</t>
  </si>
  <si>
    <t>27AAYFM1598H1ZH</t>
  </si>
  <si>
    <t>Contact No. : +91 75068 87637</t>
  </si>
  <si>
    <t xml:space="preserve"> </t>
  </si>
  <si>
    <t>Description of Service / Particulars</t>
  </si>
  <si>
    <t>HSN/SAC</t>
  </si>
  <si>
    <t>No. of sessions</t>
  </si>
  <si>
    <t>Disc.</t>
  </si>
  <si>
    <t>Per session Amount</t>
  </si>
  <si>
    <t>GST Rate</t>
  </si>
  <si>
    <t>Amount</t>
  </si>
  <si>
    <t>Total GST Amount</t>
  </si>
  <si>
    <t>Amount
(In Words)</t>
  </si>
  <si>
    <t>Total Paid               (INR)</t>
  </si>
  <si>
    <t xml:space="preserve">PAID BY   : </t>
  </si>
  <si>
    <t>For Movement by Design</t>
  </si>
  <si>
    <t>TXN ID     :</t>
  </si>
  <si>
    <t>Notes         :</t>
  </si>
  <si>
    <t>AUTHORISED SIGNATORY</t>
  </si>
  <si>
    <t>Invoice No.</t>
  </si>
  <si>
    <t>:</t>
  </si>
  <si>
    <t xml:space="preserve">Invoice Date </t>
  </si>
  <si>
    <t xml:space="preserve">Account Holder     </t>
  </si>
  <si>
    <t>: MOVEMENT BY DESIGN</t>
  </si>
  <si>
    <t xml:space="preserve">Account Number   </t>
  </si>
  <si>
    <t>: 50200023191570</t>
  </si>
  <si>
    <t xml:space="preserve">IFSC                     </t>
  </si>
  <si>
    <t xml:space="preserve">: HDFC0000085 </t>
  </si>
  <si>
    <t xml:space="preserve">Branch                   </t>
  </si>
  <si>
    <t>: COLABA</t>
  </si>
  <si>
    <t xml:space="preserve">Account Type        </t>
  </si>
  <si>
    <t>: Current Account</t>
  </si>
  <si>
    <t>PAN</t>
  </si>
  <si>
    <t>GST NO.</t>
  </si>
  <si>
    <t xml:space="preserve">Referred by </t>
  </si>
  <si>
    <t>Cupping (Head Physiotherapist)</t>
  </si>
  <si>
    <t>Rehabilitation with Cupping (Head Physiotherapist)</t>
  </si>
  <si>
    <t>Cupping (Senior Physiotherapist)</t>
  </si>
  <si>
    <t>Rehabilitation with Cupping (Senior Physiotherapist)</t>
  </si>
  <si>
    <t>HSN/SAC Codes</t>
  </si>
  <si>
    <t>Dr. Prerna Chhugani</t>
  </si>
  <si>
    <t>Dr. Yasir Zahid (PT)</t>
  </si>
  <si>
    <t>Dr. Devanshi Vira (PT)</t>
  </si>
  <si>
    <t>Dr. Tasneem Ansari (PT)</t>
  </si>
  <si>
    <t>Dr. Deepa Mourya (PT)</t>
  </si>
  <si>
    <t>Dr. Aanchal Sharma (PT)</t>
  </si>
  <si>
    <t>Dr. Sanya Jain (PT)</t>
  </si>
  <si>
    <t>Medical Consultation (Extended)</t>
  </si>
  <si>
    <t>Medical Consultation (Wellness)</t>
  </si>
  <si>
    <t xml:space="preserve">Monthly Cardio Package (Self) </t>
  </si>
  <si>
    <t>Cardio Session (Self)</t>
  </si>
  <si>
    <t>Additional Discount</t>
  </si>
  <si>
    <t>Senior Citizen Discount</t>
  </si>
  <si>
    <t>Armed Forces Discount</t>
  </si>
  <si>
    <t>Discount on Final Amount</t>
  </si>
  <si>
    <t>COL-MBD</t>
  </si>
  <si>
    <t>-</t>
  </si>
  <si>
    <t>Team SCCS</t>
  </si>
  <si>
    <t>Personal Coaching (1:1)</t>
  </si>
  <si>
    <t>Personal Coaching (Duo)</t>
  </si>
  <si>
    <t>Personal Coaching (Trio)</t>
  </si>
  <si>
    <t>Total                 No. of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</si>
</sst>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 [$₹-4009]\ * #,##0.00_ ;_ [$₹-4009]\ * \-#,##0.00_ ;_ [$₹-4009]\ * &quot;-&quot;??_ ;_ @_ "/>
    <numFmt numFmtId="165" formatCode="00"/>
    <numFmt numFmtId="166" formatCode="&quot;₹&quot;\ #,##0.00"/>
    <numFmt numFmtId="167" formatCode="_(* #,##0_);_(* \(#,##0\);_(* \-??_);_(@_)"/>
    <numFmt numFmtId="168" formatCode="0_)"/>
    <numFmt numFmtId="169" formatCode="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u/>
      <sz val="17"/>
      <name val="Times New Roman"/>
      <family val="1"/>
    </font>
    <font>
      <b/>
      <sz val="17"/>
      <name val="Times New Roman"/>
      <family val="1"/>
    </font>
    <font>
      <sz val="17"/>
      <color rgb="FF000000"/>
      <name val="Times New Roman"/>
      <family val="1"/>
    </font>
    <font>
      <b/>
      <sz val="17"/>
      <color rgb="FF000000"/>
      <name val="Times New Roman"/>
      <family val="1"/>
    </font>
    <font>
      <sz val="17"/>
      <name val="Times New Roman"/>
      <family val="1"/>
    </font>
    <font>
      <b/>
      <u/>
      <sz val="17"/>
      <color rgb="FF000000"/>
      <name val="Times New Roman"/>
      <family val="1"/>
    </font>
    <font>
      <u/>
      <sz val="17"/>
      <name val="Times New Roman"/>
      <family val="1"/>
    </font>
    <font>
      <b/>
      <sz val="25"/>
      <name val="Times New Roman"/>
      <family val="1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83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9" fontId="4" fillId="0" borderId="0" xfId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9" fontId="2" fillId="0" borderId="0" xfId="1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5" xfId="0" applyNumberFormat="1" applyFont="1" applyBorder="1" applyAlignment="1">
      <alignment vertical="center" wrapText="1"/>
    </xf>
    <xf numFmtId="9" fontId="6" fillId="0" borderId="5" xfId="1" applyFont="1" applyFill="1" applyBorder="1" applyAlignment="1">
      <alignment vertical="center" wrapText="1"/>
    </xf>
    <xf numFmtId="165" fontId="6" fillId="0" borderId="5" xfId="0" applyNumberFormat="1" applyFont="1" applyBorder="1" applyAlignment="1">
      <alignment vertical="center" wrapText="1"/>
    </xf>
    <xf numFmtId="9" fontId="2" fillId="0" borderId="5" xfId="1" applyFont="1" applyBorder="1" applyAlignment="1">
      <alignment vertical="center" wrapText="1"/>
    </xf>
    <xf numFmtId="165" fontId="2" fillId="0" borderId="5" xfId="0" applyNumberFormat="1" applyFont="1" applyBorder="1" applyAlignment="1">
      <alignment vertical="center" wrapText="1"/>
    </xf>
    <xf numFmtId="9" fontId="2" fillId="0" borderId="6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9" fontId="2" fillId="0" borderId="1" xfId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9" fontId="2" fillId="0" borderId="2" xfId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9" fontId="2" fillId="0" borderId="3" xfId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64" fontId="2" fillId="0" borderId="7" xfId="0" applyNumberFormat="1" applyFont="1" applyBorder="1" applyAlignment="1">
      <alignment vertical="center" wrapText="1"/>
    </xf>
    <xf numFmtId="9" fontId="2" fillId="0" borderId="7" xfId="1" applyFont="1" applyBorder="1" applyAlignment="1">
      <alignment vertical="center" wrapText="1"/>
    </xf>
    <xf numFmtId="9" fontId="2" fillId="0" borderId="0" xfId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64" fontId="2" fillId="0" borderId="9" xfId="0" applyNumberFormat="1" applyFont="1" applyBorder="1" applyAlignment="1">
      <alignment vertical="center" wrapText="1"/>
    </xf>
    <xf numFmtId="9" fontId="2" fillId="0" borderId="9" xfId="1" applyFont="1" applyBorder="1" applyAlignment="1">
      <alignment vertical="center" wrapText="1"/>
    </xf>
    <xf numFmtId="0" fontId="7" fillId="4" borderId="1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left" vertical="center"/>
    </xf>
    <xf numFmtId="0" fontId="9" fillId="4" borderId="11" xfId="0" applyFont="1" applyFill="1" applyBorder="1"/>
    <xf numFmtId="0" fontId="8" fillId="4" borderId="10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center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8" fillId="4" borderId="12" xfId="0" applyFont="1" applyFill="1" applyBorder="1" applyAlignment="1">
      <alignment vertical="center"/>
    </xf>
    <xf numFmtId="0" fontId="11" fillId="4" borderId="19" xfId="0" applyFont="1" applyFill="1" applyBorder="1" applyAlignment="1">
      <alignment horizontal="left" vertical="center"/>
    </xf>
    <xf numFmtId="0" fontId="9" fillId="4" borderId="0" xfId="0" applyFont="1" applyFill="1"/>
    <xf numFmtId="0" fontId="9" fillId="4" borderId="20" xfId="0" applyFont="1" applyFill="1" applyBorder="1"/>
    <xf numFmtId="0" fontId="9" fillId="4" borderId="21" xfId="0" applyFont="1" applyFill="1" applyBorder="1"/>
    <xf numFmtId="0" fontId="9" fillId="4" borderId="7" xfId="0" applyFont="1" applyFill="1" applyBorder="1"/>
    <xf numFmtId="0" fontId="9" fillId="4" borderId="22" xfId="0" applyFont="1" applyFill="1" applyBorder="1"/>
    <xf numFmtId="0" fontId="7" fillId="4" borderId="12" xfId="0" applyFont="1" applyFill="1" applyBorder="1" applyAlignment="1">
      <alignment vertical="center"/>
    </xf>
    <xf numFmtId="0" fontId="9" fillId="4" borderId="19" xfId="0" applyFont="1" applyFill="1" applyBorder="1"/>
    <xf numFmtId="0" fontId="11" fillId="4" borderId="12" xfId="0" applyFont="1" applyFill="1" applyBorder="1" applyAlignment="1">
      <alignment vertical="center"/>
    </xf>
    <xf numFmtId="0" fontId="9" fillId="4" borderId="12" xfId="0" applyFont="1" applyFill="1" applyBorder="1"/>
    <xf numFmtId="0" fontId="9" fillId="4" borderId="8" xfId="0" applyFont="1" applyFill="1" applyBorder="1"/>
    <xf numFmtId="0" fontId="9" fillId="4" borderId="8" xfId="0" applyFont="1" applyFill="1" applyBorder="1" applyAlignment="1" applyProtection="1">
      <alignment horizontal="center"/>
      <protection locked="0"/>
    </xf>
    <xf numFmtId="0" fontId="8" fillId="4" borderId="23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11" fillId="4" borderId="21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24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 applyProtection="1">
      <alignment vertical="top"/>
      <protection locked="0"/>
    </xf>
    <xf numFmtId="9" fontId="9" fillId="4" borderId="10" xfId="1" applyFont="1" applyFill="1" applyBorder="1" applyAlignment="1" applyProtection="1">
      <alignment vertical="top"/>
      <protection locked="0"/>
    </xf>
    <xf numFmtId="0" fontId="9" fillId="4" borderId="30" xfId="0" applyFont="1" applyFill="1" applyBorder="1" applyAlignment="1" applyProtection="1">
      <alignment vertical="top"/>
      <protection locked="0"/>
    </xf>
    <xf numFmtId="9" fontId="9" fillId="4" borderId="12" xfId="1" applyFont="1" applyFill="1" applyBorder="1" applyAlignment="1" applyProtection="1">
      <alignment vertical="top"/>
      <protection locked="0"/>
    </xf>
    <xf numFmtId="0" fontId="9" fillId="4" borderId="30" xfId="0" applyFont="1" applyFill="1" applyBorder="1" applyAlignment="1" applyProtection="1">
      <alignment vertical="top" wrapText="1"/>
      <protection locked="0"/>
    </xf>
    <xf numFmtId="9" fontId="9" fillId="4" borderId="12" xfId="1" applyFont="1" applyFill="1" applyBorder="1" applyAlignment="1" applyProtection="1">
      <alignment vertical="top" wrapText="1"/>
      <protection locked="0"/>
    </xf>
    <xf numFmtId="0" fontId="9" fillId="4" borderId="30" xfId="0" applyFont="1" applyFill="1" applyBorder="1" applyProtection="1">
      <protection locked="0"/>
    </xf>
    <xf numFmtId="9" fontId="9" fillId="4" borderId="12" xfId="1" applyFont="1" applyFill="1" applyBorder="1" applyAlignment="1" applyProtection="1">
      <protection locked="0"/>
    </xf>
    <xf numFmtId="0" fontId="11" fillId="4" borderId="30" xfId="0" applyFont="1" applyFill="1" applyBorder="1" applyAlignment="1" applyProtection="1">
      <alignment vertical="center" wrapText="1"/>
      <protection locked="0"/>
    </xf>
    <xf numFmtId="9" fontId="11" fillId="4" borderId="12" xfId="1" applyFont="1" applyFill="1" applyBorder="1" applyAlignment="1" applyProtection="1">
      <alignment vertical="center" wrapText="1"/>
      <protection locked="0"/>
    </xf>
    <xf numFmtId="9" fontId="11" fillId="4" borderId="12" xfId="1" applyFont="1" applyFill="1" applyBorder="1" applyAlignment="1" applyProtection="1">
      <alignment vertical="center"/>
      <protection locked="0"/>
    </xf>
    <xf numFmtId="0" fontId="11" fillId="4" borderId="30" xfId="0" applyFont="1" applyFill="1" applyBorder="1"/>
    <xf numFmtId="0" fontId="8" fillId="4" borderId="19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top"/>
    </xf>
    <xf numFmtId="0" fontId="8" fillId="4" borderId="19" xfId="0" applyFont="1" applyFill="1" applyBorder="1" applyAlignment="1">
      <alignment horizontal="left" vertical="top" wrapText="1"/>
    </xf>
    <xf numFmtId="0" fontId="11" fillId="4" borderId="19" xfId="0" applyFont="1" applyFill="1" applyBorder="1" applyAlignment="1">
      <alignment horizontal="left" vertical="top" wrapText="1"/>
    </xf>
    <xf numFmtId="0" fontId="11" fillId="4" borderId="13" xfId="0" applyFont="1" applyFill="1" applyBorder="1" applyAlignment="1">
      <alignment vertical="top" wrapText="1"/>
    </xf>
    <xf numFmtId="0" fontId="8" fillId="4" borderId="8" xfId="0" applyFont="1" applyFill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 applyProtection="1">
      <alignment horizontal="center" vertical="center"/>
      <protection locked="0"/>
    </xf>
    <xf numFmtId="165" fontId="2" fillId="0" borderId="41" xfId="0" applyNumberFormat="1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9" fillId="4" borderId="0" xfId="0" applyFont="1" applyFill="1" applyProtection="1">
      <protection locked="0"/>
    </xf>
    <xf numFmtId="0" fontId="8" fillId="4" borderId="0" xfId="0" applyFont="1" applyFill="1" applyAlignment="1">
      <alignment horizontal="center" vertical="center"/>
    </xf>
    <xf numFmtId="165" fontId="10" fillId="4" borderId="0" xfId="0" applyNumberFormat="1" applyFont="1" applyFill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165" fontId="8" fillId="4" borderId="0" xfId="0" applyNumberFormat="1" applyFont="1" applyFill="1" applyAlignment="1" applyProtection="1">
      <alignment horizontal="center" vertical="center"/>
      <protection locked="0"/>
    </xf>
    <xf numFmtId="0" fontId="11" fillId="4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vertical="top"/>
    </xf>
    <xf numFmtId="0" fontId="8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top" wrapText="1"/>
    </xf>
    <xf numFmtId="1" fontId="2" fillId="0" borderId="7" xfId="0" applyNumberFormat="1" applyFont="1" applyBorder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2" fillId="0" borderId="9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0" fontId="9" fillId="4" borderId="29" xfId="0" applyFont="1" applyFill="1" applyBorder="1" applyAlignment="1">
      <alignment vertical="top"/>
    </xf>
    <xf numFmtId="0" fontId="9" fillId="4" borderId="30" xfId="0" applyFont="1" applyFill="1" applyBorder="1" applyAlignment="1">
      <alignment vertical="top"/>
    </xf>
    <xf numFmtId="0" fontId="9" fillId="4" borderId="30" xfId="0" applyFont="1" applyFill="1" applyBorder="1" applyAlignment="1">
      <alignment vertical="top" wrapText="1"/>
    </xf>
    <xf numFmtId="0" fontId="9" fillId="4" borderId="30" xfId="0" applyFont="1" applyFill="1" applyBorder="1"/>
    <xf numFmtId="0" fontId="11" fillId="4" borderId="30" xfId="0" applyFont="1" applyFill="1" applyBorder="1" applyAlignment="1">
      <alignment vertical="center" wrapText="1"/>
    </xf>
    <xf numFmtId="0" fontId="11" fillId="4" borderId="30" xfId="0" applyFont="1" applyFill="1" applyBorder="1" applyAlignment="1">
      <alignment horizontal="center" vertical="center" wrapText="1"/>
    </xf>
    <xf numFmtId="166" fontId="9" fillId="4" borderId="10" xfId="1" applyNumberFormat="1" applyFont="1" applyFill="1" applyBorder="1" applyAlignment="1" applyProtection="1">
      <alignment vertical="top"/>
      <protection locked="0"/>
    </xf>
    <xf numFmtId="166" fontId="9" fillId="4" borderId="12" xfId="1" applyNumberFormat="1" applyFont="1" applyFill="1" applyBorder="1" applyAlignment="1" applyProtection="1">
      <alignment vertical="top"/>
      <protection locked="0"/>
    </xf>
    <xf numFmtId="166" fontId="9" fillId="4" borderId="12" xfId="1" applyNumberFormat="1" applyFont="1" applyFill="1" applyBorder="1" applyAlignment="1" applyProtection="1">
      <alignment vertical="top" wrapText="1"/>
      <protection locked="0"/>
    </xf>
    <xf numFmtId="166" fontId="9" fillId="4" borderId="12" xfId="1" applyNumberFormat="1" applyFont="1" applyFill="1" applyBorder="1" applyAlignment="1" applyProtection="1">
      <protection locked="0"/>
    </xf>
    <xf numFmtId="166" fontId="11" fillId="4" borderId="12" xfId="1" applyNumberFormat="1" applyFont="1" applyFill="1" applyBorder="1" applyAlignment="1" applyProtection="1">
      <alignment vertical="center" wrapText="1"/>
      <protection locked="0"/>
    </xf>
    <xf numFmtId="166" fontId="11" fillId="4" borderId="12" xfId="1" applyNumberFormat="1" applyFont="1" applyFill="1" applyBorder="1" applyAlignment="1" applyProtection="1">
      <alignment vertical="center"/>
      <protection locked="0"/>
    </xf>
    <xf numFmtId="0" fontId="2" fillId="0" borderId="42" xfId="0" applyFont="1" applyBorder="1" applyAlignment="1">
      <alignment vertical="center" wrapText="1"/>
    </xf>
    <xf numFmtId="1" fontId="2" fillId="0" borderId="42" xfId="0" applyNumberFormat="1" applyFont="1" applyBorder="1" applyAlignment="1">
      <alignment vertical="center" wrapText="1"/>
    </xf>
    <xf numFmtId="164" fontId="2" fillId="0" borderId="42" xfId="0" applyNumberFormat="1" applyFont="1" applyBorder="1" applyAlignment="1">
      <alignment vertical="center" wrapText="1"/>
    </xf>
    <xf numFmtId="9" fontId="2" fillId="0" borderId="42" xfId="1" applyFont="1" applyBorder="1" applyAlignment="1">
      <alignment vertical="center" wrapText="1"/>
    </xf>
    <xf numFmtId="0" fontId="2" fillId="0" borderId="43" xfId="0" applyFont="1" applyBorder="1" applyAlignment="1">
      <alignment vertical="center" wrapText="1"/>
    </xf>
    <xf numFmtId="1" fontId="2" fillId="0" borderId="43" xfId="0" applyNumberFormat="1" applyFont="1" applyBorder="1" applyAlignment="1">
      <alignment vertical="center" wrapText="1"/>
    </xf>
    <xf numFmtId="164" fontId="2" fillId="0" borderId="43" xfId="0" applyNumberFormat="1" applyFont="1" applyBorder="1" applyAlignment="1">
      <alignment vertical="center" wrapText="1"/>
    </xf>
    <xf numFmtId="9" fontId="2" fillId="0" borderId="43" xfId="1" applyFont="1" applyBorder="1" applyAlignment="1">
      <alignment vertical="center" wrapText="1"/>
    </xf>
    <xf numFmtId="1" fontId="2" fillId="0" borderId="44" xfId="0" applyNumberFormat="1" applyFont="1" applyBorder="1" applyAlignment="1">
      <alignment vertical="center" wrapText="1"/>
    </xf>
    <xf numFmtId="0" fontId="6" fillId="3" borderId="45" xfId="0" applyFont="1" applyFill="1" applyBorder="1" applyAlignment="1">
      <alignment vertical="center" wrapText="1"/>
    </xf>
    <xf numFmtId="164" fontId="6" fillId="3" borderId="45" xfId="0" applyNumberFormat="1" applyFont="1" applyFill="1" applyBorder="1" applyAlignment="1">
      <alignment vertical="center" wrapText="1"/>
    </xf>
    <xf numFmtId="9" fontId="6" fillId="3" borderId="45" xfId="1" applyFont="1" applyFill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164" fontId="15" fillId="0" borderId="5" xfId="0" applyNumberFormat="1" applyFont="1" applyBorder="1" applyAlignment="1">
      <alignment vertical="center" wrapText="1"/>
    </xf>
    <xf numFmtId="9" fontId="15" fillId="0" borderId="5" xfId="1" applyFont="1" applyFill="1" applyBorder="1" applyAlignment="1">
      <alignment vertical="center" wrapText="1"/>
    </xf>
    <xf numFmtId="9" fontId="2" fillId="0" borderId="45" xfId="1" applyFont="1" applyBorder="1" applyAlignment="1">
      <alignment vertical="center" wrapText="1"/>
    </xf>
    <xf numFmtId="164" fontId="2" fillId="0" borderId="41" xfId="0" applyNumberFormat="1" applyFont="1" applyBorder="1" applyAlignment="1">
      <alignment vertical="center" wrapText="1"/>
    </xf>
    <xf numFmtId="9" fontId="2" fillId="0" borderId="41" xfId="1" applyFont="1" applyBorder="1" applyAlignment="1">
      <alignment vertical="center" wrapText="1"/>
    </xf>
    <xf numFmtId="9" fontId="2" fillId="0" borderId="46" xfId="1" applyFont="1" applyBorder="1" applyAlignment="1">
      <alignment vertical="center" wrapText="1"/>
    </xf>
    <xf numFmtId="165" fontId="6" fillId="3" borderId="45" xfId="0" applyNumberFormat="1" applyFont="1" applyFill="1" applyBorder="1" applyAlignment="1">
      <alignment vertical="center" wrapText="1"/>
    </xf>
    <xf numFmtId="165" fontId="2" fillId="0" borderId="45" xfId="0" applyNumberFormat="1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165" fontId="2" fillId="0" borderId="46" xfId="0" applyNumberFormat="1" applyFont="1" applyBorder="1" applyAlignment="1">
      <alignment vertical="center" wrapText="1"/>
    </xf>
    <xf numFmtId="0" fontId="2" fillId="0" borderId="46" xfId="0" applyFont="1" applyBorder="1" applyAlignment="1">
      <alignment vertical="center" wrapText="1"/>
    </xf>
    <xf numFmtId="169" fontId="8" fillId="4" borderId="8" xfId="0" applyNumberFormat="1" applyFont="1" applyFill="1" applyBorder="1" applyAlignment="1" applyProtection="1">
      <alignment horizontal="center" vertical="center"/>
      <protection locked="0"/>
    </xf>
    <xf numFmtId="1" fontId="10" fillId="4" borderId="0" xfId="0" applyNumberFormat="1" applyFont="1" applyFill="1" applyAlignment="1" applyProtection="1">
      <alignment horizontal="center"/>
      <protection locked="0"/>
    </xf>
    <xf numFmtId="0" fontId="9" fillId="4" borderId="8" xfId="0" applyFont="1" applyFill="1" applyBorder="1" applyProtection="1">
      <protection locked="0"/>
    </xf>
    <xf numFmtId="0" fontId="9" fillId="4" borderId="18" xfId="0" applyFont="1" applyFill="1" applyBorder="1" applyProtection="1">
      <protection locked="0"/>
    </xf>
    <xf numFmtId="0" fontId="14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0" xfId="0" applyFont="1" applyFill="1" applyProtection="1">
      <protection locked="0"/>
    </xf>
    <xf numFmtId="0" fontId="9" fillId="4" borderId="13" xfId="0" applyFont="1" applyFill="1" applyBorder="1" applyProtection="1">
      <protection locked="0"/>
    </xf>
    <xf numFmtId="0" fontId="11" fillId="4" borderId="19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0" xfId="0" applyFont="1" applyFill="1"/>
    <xf numFmtId="0" fontId="9" fillId="4" borderId="13" xfId="0" applyFont="1" applyFill="1" applyBorder="1"/>
    <xf numFmtId="0" fontId="12" fillId="4" borderId="10" xfId="0" applyFont="1" applyFill="1" applyBorder="1" applyProtection="1">
      <protection locked="0"/>
    </xf>
    <xf numFmtId="0" fontId="12" fillId="4" borderId="8" xfId="0" applyFont="1" applyFill="1" applyBorder="1" applyProtection="1">
      <protection locked="0"/>
    </xf>
    <xf numFmtId="0" fontId="12" fillId="4" borderId="11" xfId="0" applyFont="1" applyFill="1" applyBorder="1" applyProtection="1">
      <protection locked="0"/>
    </xf>
    <xf numFmtId="0" fontId="9" fillId="4" borderId="19" xfId="0" applyFont="1" applyFill="1" applyBorder="1"/>
    <xf numFmtId="0" fontId="8" fillId="4" borderId="8" xfId="0" applyFont="1" applyFill="1" applyBorder="1" applyAlignment="1" applyProtection="1">
      <alignment horizontal="center" vertical="center"/>
      <protection locked="0"/>
    </xf>
    <xf numFmtId="0" fontId="11" fillId="4" borderId="20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22" xfId="0" applyFont="1" applyFill="1" applyBorder="1" applyAlignment="1">
      <alignment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vertical="center"/>
    </xf>
    <xf numFmtId="0" fontId="8" fillId="4" borderId="27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 applyProtection="1">
      <alignment vertical="top"/>
      <protection locked="0"/>
    </xf>
    <xf numFmtId="0" fontId="9" fillId="4" borderId="11" xfId="0" applyFont="1" applyFill="1" applyBorder="1" applyAlignment="1" applyProtection="1">
      <alignment vertical="top"/>
      <protection locked="0"/>
    </xf>
    <xf numFmtId="164" fontId="9" fillId="4" borderId="10" xfId="0" applyNumberFormat="1" applyFont="1" applyFill="1" applyBorder="1" applyAlignment="1">
      <alignment vertical="top"/>
    </xf>
    <xf numFmtId="164" fontId="9" fillId="4" borderId="8" xfId="0" applyNumberFormat="1" applyFont="1" applyFill="1" applyBorder="1" applyAlignment="1">
      <alignment vertical="top"/>
    </xf>
    <xf numFmtId="164" fontId="9" fillId="4" borderId="18" xfId="0" applyNumberFormat="1" applyFont="1" applyFill="1" applyBorder="1" applyAlignment="1">
      <alignment vertical="top"/>
    </xf>
    <xf numFmtId="0" fontId="9" fillId="4" borderId="19" xfId="0" applyFont="1" applyFill="1" applyBorder="1" applyAlignment="1" applyProtection="1">
      <alignment vertical="top"/>
      <protection locked="0"/>
    </xf>
    <xf numFmtId="0" fontId="9" fillId="4" borderId="13" xfId="0" applyFont="1" applyFill="1" applyBorder="1" applyAlignment="1" applyProtection="1">
      <alignment vertical="top"/>
      <protection locked="0"/>
    </xf>
    <xf numFmtId="164" fontId="9" fillId="4" borderId="12" xfId="0" applyNumberFormat="1" applyFont="1" applyFill="1" applyBorder="1" applyAlignment="1">
      <alignment vertical="top"/>
    </xf>
    <xf numFmtId="164" fontId="9" fillId="4" borderId="0" xfId="0" applyNumberFormat="1" applyFont="1" applyFill="1" applyAlignment="1">
      <alignment vertical="top"/>
    </xf>
    <xf numFmtId="164" fontId="9" fillId="4" borderId="20" xfId="0" applyNumberFormat="1" applyFont="1" applyFill="1" applyBorder="1" applyAlignment="1">
      <alignment vertical="top"/>
    </xf>
    <xf numFmtId="0" fontId="9" fillId="4" borderId="19" xfId="0" applyFont="1" applyFill="1" applyBorder="1" applyAlignment="1" applyProtection="1">
      <alignment vertical="top" wrapText="1"/>
      <protection locked="0"/>
    </xf>
    <xf numFmtId="0" fontId="9" fillId="4" borderId="13" xfId="0" applyFont="1" applyFill="1" applyBorder="1" applyAlignment="1" applyProtection="1">
      <alignment vertical="top" wrapText="1"/>
      <protection locked="0"/>
    </xf>
    <xf numFmtId="164" fontId="9" fillId="4" borderId="12" xfId="0" applyNumberFormat="1" applyFont="1" applyFill="1" applyBorder="1"/>
    <xf numFmtId="164" fontId="9" fillId="4" borderId="0" xfId="0" applyNumberFormat="1" applyFont="1" applyFill="1"/>
    <xf numFmtId="164" fontId="9" fillId="4" borderId="20" xfId="0" applyNumberFormat="1" applyFont="1" applyFill="1" applyBorder="1"/>
    <xf numFmtId="9" fontId="9" fillId="4" borderId="10" xfId="1" applyFont="1" applyFill="1" applyBorder="1" applyAlignment="1">
      <alignment vertical="top"/>
    </xf>
    <xf numFmtId="9" fontId="9" fillId="4" borderId="11" xfId="1" applyFont="1" applyFill="1" applyBorder="1" applyAlignment="1">
      <alignment vertical="top"/>
    </xf>
    <xf numFmtId="9" fontId="9" fillId="4" borderId="12" xfId="1" applyFont="1" applyFill="1" applyBorder="1" applyAlignment="1">
      <alignment vertical="top"/>
    </xf>
    <xf numFmtId="9" fontId="9" fillId="4" borderId="13" xfId="1" applyFont="1" applyFill="1" applyBorder="1" applyAlignment="1">
      <alignment vertical="top"/>
    </xf>
    <xf numFmtId="9" fontId="9" fillId="4" borderId="12" xfId="1" applyFont="1" applyFill="1" applyBorder="1" applyAlignment="1">
      <alignment vertical="top" wrapText="1"/>
    </xf>
    <xf numFmtId="9" fontId="9" fillId="4" borderId="13" xfId="1" applyFont="1" applyFill="1" applyBorder="1" applyAlignment="1">
      <alignment vertical="top" wrapText="1"/>
    </xf>
    <xf numFmtId="0" fontId="9" fillId="4" borderId="19" xfId="0" applyFont="1" applyFill="1" applyBorder="1" applyProtection="1">
      <protection locked="0"/>
    </xf>
    <xf numFmtId="9" fontId="9" fillId="4" borderId="12" xfId="1" applyFont="1" applyFill="1" applyBorder="1" applyAlignment="1"/>
    <xf numFmtId="9" fontId="9" fillId="4" borderId="13" xfId="1" applyFont="1" applyFill="1" applyBorder="1" applyAlignment="1"/>
    <xf numFmtId="0" fontId="11" fillId="4" borderId="19" xfId="0" applyFont="1" applyFill="1" applyBorder="1" applyAlignment="1" applyProtection="1">
      <alignment vertical="center" wrapText="1"/>
      <protection locked="0"/>
    </xf>
    <xf numFmtId="0" fontId="11" fillId="4" borderId="13" xfId="0" applyFont="1" applyFill="1" applyBorder="1" applyAlignment="1" applyProtection="1">
      <alignment vertical="center" wrapText="1"/>
      <protection locked="0"/>
    </xf>
    <xf numFmtId="9" fontId="11" fillId="4" borderId="12" xfId="1" applyFont="1" applyFill="1" applyBorder="1" applyAlignment="1">
      <alignment vertical="center" wrapText="1"/>
    </xf>
    <xf numFmtId="9" fontId="11" fillId="4" borderId="13" xfId="1" applyFont="1" applyFill="1" applyBorder="1" applyAlignment="1">
      <alignment vertical="center" wrapText="1"/>
    </xf>
    <xf numFmtId="0" fontId="11" fillId="4" borderId="19" xfId="0" applyFont="1" applyFill="1" applyBorder="1" applyAlignment="1" applyProtection="1">
      <alignment horizontal="center" vertical="center" wrapText="1"/>
      <protection locked="0"/>
    </xf>
    <xf numFmtId="0" fontId="11" fillId="4" borderId="13" xfId="0" applyFont="1" applyFill="1" applyBorder="1" applyAlignment="1" applyProtection="1">
      <alignment horizontal="center" vertical="center" wrapText="1"/>
      <protection locked="0"/>
    </xf>
    <xf numFmtId="0" fontId="11" fillId="4" borderId="19" xfId="0" applyFont="1" applyFill="1" applyBorder="1" applyProtection="1">
      <protection locked="0"/>
    </xf>
    <xf numFmtId="0" fontId="11" fillId="4" borderId="13" xfId="0" applyFont="1" applyFill="1" applyBorder="1" applyProtection="1">
      <protection locked="0"/>
    </xf>
    <xf numFmtId="164" fontId="9" fillId="4" borderId="21" xfId="0" applyNumberFormat="1" applyFont="1" applyFill="1" applyBorder="1"/>
    <xf numFmtId="164" fontId="9" fillId="4" borderId="7" xfId="0" applyNumberFormat="1" applyFont="1" applyFill="1" applyBorder="1"/>
    <xf numFmtId="164" fontId="9" fillId="4" borderId="22" xfId="0" applyNumberFormat="1" applyFont="1" applyFill="1" applyBorder="1"/>
    <xf numFmtId="0" fontId="8" fillId="4" borderId="29" xfId="0" applyFont="1" applyFill="1" applyBorder="1" applyAlignment="1">
      <alignment horizontal="right" vertical="center" wrapText="1"/>
    </xf>
    <xf numFmtId="0" fontId="8" fillId="4" borderId="31" xfId="0" applyFont="1" applyFill="1" applyBorder="1" applyAlignment="1">
      <alignment horizontal="right" vertical="center" wrapText="1"/>
    </xf>
    <xf numFmtId="164" fontId="9" fillId="4" borderId="10" xfId="0" applyNumberFormat="1" applyFont="1" applyFill="1" applyBorder="1" applyAlignment="1">
      <alignment horizontal="center" vertical="center"/>
    </xf>
    <xf numFmtId="164" fontId="9" fillId="4" borderId="8" xfId="0" applyNumberFormat="1" applyFont="1" applyFill="1" applyBorder="1" applyAlignment="1">
      <alignment horizontal="center" vertical="center"/>
    </xf>
    <xf numFmtId="164" fontId="9" fillId="4" borderId="18" xfId="0" applyNumberFormat="1" applyFont="1" applyFill="1" applyBorder="1" applyAlignment="1">
      <alignment horizontal="center" vertical="center"/>
    </xf>
    <xf numFmtId="164" fontId="9" fillId="4" borderId="21" xfId="0" applyNumberFormat="1" applyFont="1" applyFill="1" applyBorder="1" applyAlignment="1">
      <alignment horizontal="center" vertical="center"/>
    </xf>
    <xf numFmtId="164" fontId="9" fillId="4" borderId="7" xfId="0" applyNumberFormat="1" applyFont="1" applyFill="1" applyBorder="1" applyAlignment="1">
      <alignment horizontal="center" vertical="center"/>
    </xf>
    <xf numFmtId="164" fontId="9" fillId="4" borderId="22" xfId="0" applyNumberFormat="1" applyFont="1" applyFill="1" applyBorder="1" applyAlignment="1">
      <alignment horizontal="center" vertical="center"/>
    </xf>
    <xf numFmtId="9" fontId="8" fillId="4" borderId="10" xfId="1" applyFont="1" applyFill="1" applyBorder="1" applyAlignment="1" applyProtection="1">
      <alignment horizontal="center" vertical="center" wrapText="1"/>
    </xf>
    <xf numFmtId="9" fontId="8" fillId="4" borderId="11" xfId="1" applyFont="1" applyFill="1" applyBorder="1" applyAlignment="1" applyProtection="1">
      <alignment horizontal="center" vertical="center" wrapText="1"/>
    </xf>
    <xf numFmtId="9" fontId="8" fillId="4" borderId="21" xfId="1" applyFont="1" applyFill="1" applyBorder="1" applyAlignment="1" applyProtection="1">
      <alignment horizontal="center" vertical="center" wrapText="1"/>
    </xf>
    <xf numFmtId="9" fontId="8" fillId="4" borderId="24" xfId="1" applyFont="1" applyFill="1" applyBorder="1" applyAlignment="1" applyProtection="1">
      <alignment horizontal="center" vertical="center" wrapText="1"/>
    </xf>
    <xf numFmtId="0" fontId="11" fillId="4" borderId="4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9" fontId="11" fillId="4" borderId="21" xfId="1" applyFont="1" applyFill="1" applyBorder="1" applyAlignment="1">
      <alignment vertical="center"/>
    </xf>
    <xf numFmtId="9" fontId="11" fillId="4" borderId="24" xfId="1" applyFont="1" applyFill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vertical="center" wrapText="1"/>
    </xf>
    <xf numFmtId="0" fontId="11" fillId="4" borderId="36" xfId="0" applyFont="1" applyFill="1" applyBorder="1" applyAlignment="1">
      <alignment vertical="center" wrapText="1"/>
    </xf>
    <xf numFmtId="0" fontId="11" fillId="4" borderId="37" xfId="0" applyFont="1" applyFill="1" applyBorder="1" applyAlignment="1">
      <alignment vertical="center" wrapText="1"/>
    </xf>
    <xf numFmtId="0" fontId="8" fillId="4" borderId="36" xfId="0" applyFont="1" applyFill="1" applyBorder="1" applyAlignment="1">
      <alignment horizontal="right" vertical="center"/>
    </xf>
    <xf numFmtId="0" fontId="8" fillId="4" borderId="38" xfId="0" applyFont="1" applyFill="1" applyBorder="1" applyAlignment="1">
      <alignment horizontal="right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 wrapText="1"/>
    </xf>
    <xf numFmtId="167" fontId="8" fillId="4" borderId="33" xfId="0" applyNumberFormat="1" applyFont="1" applyFill="1" applyBorder="1" applyAlignment="1">
      <alignment horizontal="center" vertical="center" wrapText="1"/>
    </xf>
    <xf numFmtId="167" fontId="8" fillId="4" borderId="34" xfId="0" applyNumberFormat="1" applyFont="1" applyFill="1" applyBorder="1" applyAlignment="1">
      <alignment horizontal="center" vertical="center" wrapText="1"/>
    </xf>
    <xf numFmtId="168" fontId="8" fillId="4" borderId="10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8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2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0" xfId="0" applyNumberFormat="1" applyFont="1" applyFill="1" applyAlignment="1" applyProtection="1">
      <alignment horizontal="center" vertical="center" wrapText="1"/>
      <protection locked="0"/>
    </xf>
    <xf numFmtId="168" fontId="8" fillId="4" borderId="13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7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4" xfId="0" applyNumberFormat="1" applyFont="1" applyFill="1" applyBorder="1" applyAlignment="1" applyProtection="1">
      <alignment horizontal="center" vertical="center" wrapText="1"/>
      <protection locked="0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8" xfId="0" applyNumberFormat="1" applyFont="1" applyFill="1" applyBorder="1" applyAlignment="1">
      <alignment horizontal="center" vertical="center"/>
    </xf>
    <xf numFmtId="164" fontId="10" fillId="4" borderId="18" xfId="0" applyNumberFormat="1" applyFont="1" applyFill="1" applyBorder="1" applyAlignment="1">
      <alignment horizontal="center" vertical="center"/>
    </xf>
    <xf numFmtId="164" fontId="10" fillId="4" borderId="12" xfId="0" applyNumberFormat="1" applyFont="1" applyFill="1" applyBorder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0" fillId="4" borderId="20" xfId="0" applyNumberFormat="1" applyFont="1" applyFill="1" applyBorder="1" applyAlignment="1">
      <alignment horizontal="center" vertical="center"/>
    </xf>
    <xf numFmtId="164" fontId="10" fillId="4" borderId="21" xfId="0" applyNumberFormat="1" applyFont="1" applyFill="1" applyBorder="1" applyAlignment="1">
      <alignment horizontal="center" vertical="center"/>
    </xf>
    <xf numFmtId="164" fontId="10" fillId="4" borderId="7" xfId="0" applyNumberFormat="1" applyFont="1" applyFill="1" applyBorder="1" applyAlignment="1">
      <alignment horizontal="center" vertical="center"/>
    </xf>
    <xf numFmtId="164" fontId="10" fillId="4" borderId="22" xfId="0" applyNumberFormat="1" applyFont="1" applyFill="1" applyBorder="1" applyAlignment="1">
      <alignment horizontal="center" vertical="center"/>
    </xf>
    <xf numFmtId="0" fontId="11" fillId="4" borderId="8" xfId="0" applyFont="1" applyFill="1" applyBorder="1" applyAlignment="1" applyProtection="1">
      <alignment horizontal="left" vertical="center"/>
      <protection locked="0"/>
    </xf>
    <xf numFmtId="0" fontId="11" fillId="4" borderId="11" xfId="0" applyFont="1" applyFill="1" applyBorder="1" applyAlignment="1" applyProtection="1">
      <alignment horizontal="left" vertical="center"/>
      <protection locked="0"/>
    </xf>
    <xf numFmtId="0" fontId="8" fillId="4" borderId="8" xfId="0" applyFont="1" applyFill="1" applyBorder="1" applyAlignment="1">
      <alignment horizontal="right" wrapText="1"/>
    </xf>
    <xf numFmtId="0" fontId="8" fillId="4" borderId="18" xfId="0" applyFont="1" applyFill="1" applyBorder="1" applyAlignment="1">
      <alignment horizontal="right" wrapText="1"/>
    </xf>
    <xf numFmtId="0" fontId="8" fillId="4" borderId="39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40" xfId="0" applyFont="1" applyFill="1" applyBorder="1" applyAlignment="1">
      <alignment vertical="center" wrapText="1"/>
    </xf>
    <xf numFmtId="0" fontId="11" fillId="4" borderId="0" xfId="0" applyFont="1" applyFill="1" applyAlignment="1" applyProtection="1">
      <alignment horizontal="left" vertical="top" wrapText="1"/>
      <protection locked="0"/>
    </xf>
    <xf numFmtId="0" fontId="11" fillId="4" borderId="13" xfId="0" applyFont="1" applyFill="1" applyBorder="1" applyAlignment="1" applyProtection="1">
      <alignment horizontal="left" vertical="top" wrapText="1"/>
      <protection locked="0"/>
    </xf>
    <xf numFmtId="0" fontId="8" fillId="4" borderId="19" xfId="0" applyFont="1" applyFill="1" applyBorder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1" fillId="4" borderId="13" xfId="0" applyFont="1" applyFill="1" applyBorder="1" applyAlignment="1">
      <alignment vertical="center" wrapText="1"/>
    </xf>
    <xf numFmtId="167" fontId="8" fillId="4" borderId="10" xfId="0" applyNumberFormat="1" applyFont="1" applyFill="1" applyBorder="1" applyAlignment="1">
      <alignment horizontal="center" vertical="center" wrapText="1"/>
    </xf>
    <xf numFmtId="167" fontId="8" fillId="4" borderId="11" xfId="0" applyNumberFormat="1" applyFont="1" applyFill="1" applyBorder="1" applyAlignment="1">
      <alignment horizontal="center" vertical="center" wrapText="1"/>
    </xf>
    <xf numFmtId="167" fontId="8" fillId="4" borderId="12" xfId="0" applyNumberFormat="1" applyFont="1" applyFill="1" applyBorder="1" applyAlignment="1">
      <alignment horizontal="center" vertical="center" wrapText="1"/>
    </xf>
    <xf numFmtId="167" fontId="8" fillId="4" borderId="13" xfId="0" applyNumberFormat="1" applyFont="1" applyFill="1" applyBorder="1" applyAlignment="1">
      <alignment horizontal="center" vertical="center" wrapText="1"/>
    </xf>
    <xf numFmtId="167" fontId="8" fillId="4" borderId="21" xfId="0" applyNumberFormat="1" applyFont="1" applyFill="1" applyBorder="1" applyAlignment="1">
      <alignment horizontal="center" vertical="center" wrapText="1"/>
    </xf>
    <xf numFmtId="167" fontId="8" fillId="4" borderId="24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6092114-A21D-43B3-9E29-7450053573CA}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leStyleMedium2" defaultPivotStyle="PivotStyleLight16">
    <tableStyle name="Table Style 1" pivot="0" count="1" xr9:uid="{F9C1774F-C6F4-4AE7-8131-3C678F8E4D7E}">
      <tableStyleElement type="wholeTable" dxfId="11"/>
    </tableStyle>
    <tableStyle name="Table Style 2" pivot="0" count="1" xr9:uid="{7AD88003-82B4-4AB7-BB2E-C2880995DF78}">
      <tableStyleElement type="headerRow" dxfId="10"/>
    </tableStyle>
    <tableStyle name="Table Style 3" pivot="0" count="2" xr9:uid="{E99E59D0-5D5F-4C9F-A05E-577E4ED7A960}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</xdr:col>
      <xdr:colOff>2775858</xdr:colOff>
      <xdr:row>12</xdr:row>
      <xdr:rowOff>8380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B4F330-0CAD-4CF3-94F1-8B9F7FBE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217715"/>
          <a:ext cx="4014108" cy="2403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0B45D5-2949-4771-978A-F1BEC8DD634D}" name="ServiceTable" displayName="ServiceTable" ref="A2:F61" totalsRowShown="0" headerRowDxfId="7" dataDxfId="6">
  <autoFilter ref="A2:F61" xr:uid="{E70B45D5-2949-4771-978A-F1BEC8DD634D}"/>
  <tableColumns count="6">
    <tableColumn id="2" xr3:uid="{0547F596-3A93-46FD-9E06-716CA85F334C}" name="Department" dataDxfId="5"/>
    <tableColumn id="3" xr3:uid="{2BCC4596-53BB-4E86-902D-BF68D533F65E}" name="Consultant" dataDxfId="4"/>
    <tableColumn id="4" xr3:uid="{19134C44-6B3E-4099-AB69-CA4505830066}" name="Service" dataDxfId="3"/>
    <tableColumn id="1" xr3:uid="{FC8CFE42-364C-42AF-AD33-78CDE9722387}" name="HSN/SAC Codes" dataDxfId="2"/>
    <tableColumn id="5" xr3:uid="{963C1904-1ACF-4C16-99E2-847881547DD0}" name="Cost" dataDxfId="1"/>
    <tableColumn id="6" xr3:uid="{37BF6215-BE32-4DAF-B5E7-E60D9FB225B6}" name="GST" dataDxfId="0" dataCellStyle="Percent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6A7-C7A7-4E1C-BA6D-4E7AFC8A0832}">
  <sheetPr codeName="Sheet2">
    <pageSetUpPr fitToPage="1"/>
  </sheetPr>
  <dimension ref="B13:Q65"/>
  <sheetViews>
    <sheetView topLeftCell="A31" zoomScale="66" zoomScaleNormal="66" workbookViewId="0">
      <selection activeCell="Z51" sqref="Z51"/>
    </sheetView>
  </sheetViews>
  <sheetFormatPr defaultRowHeight="17.100000000000001" customHeight="1" x14ac:dyDescent="0.4"/>
  <cols>
    <col min="1" max="1" width="3.33203125" style="46" customWidth="1"/>
    <col min="2" max="2" width="18" style="46" customWidth="1"/>
    <col min="3" max="3" width="63.77734375" style="46" customWidth="1"/>
    <col min="4" max="4" width="38.77734375" style="46" customWidth="1"/>
    <col min="5" max="5" width="18.33203125" style="46" customWidth="1"/>
    <col min="6" max="7" width="12.44140625" style="46" customWidth="1"/>
    <col min="8" max="8" width="21.77734375" style="46" customWidth="1"/>
    <col min="9" max="9" width="5.88671875" style="46" customWidth="1"/>
    <col min="10" max="10" width="8.44140625" style="46" customWidth="1"/>
    <col min="11" max="11" width="8.6640625" style="46" customWidth="1"/>
    <col min="12" max="12" width="1.77734375" style="46" customWidth="1"/>
    <col min="13" max="13" width="8.109375" style="46" customWidth="1"/>
    <col min="14" max="14" width="1.77734375" style="46" customWidth="1"/>
    <col min="15" max="15" width="8.33203125" style="46" customWidth="1"/>
    <col min="16" max="16" width="2.88671875" style="46" customWidth="1"/>
    <col min="17" max="17" width="8" style="46" customWidth="1"/>
    <col min="18" max="18" width="3.33203125" style="46" customWidth="1"/>
    <col min="19" max="16384" width="8.88671875" style="46"/>
  </cols>
  <sheetData>
    <row r="13" spans="2:17" ht="17.100000000000001" customHeight="1" thickBot="1" x14ac:dyDescent="0.45"/>
    <row r="14" spans="2:17" ht="40.049999999999997" customHeight="1" x14ac:dyDescent="0.4">
      <c r="B14" s="145" t="s">
        <v>85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7"/>
    </row>
    <row r="15" spans="2:17" ht="22.2" customHeight="1" x14ac:dyDescent="0.4">
      <c r="B15" s="35" t="s">
        <v>86</v>
      </c>
      <c r="C15" s="36"/>
      <c r="D15" s="37" t="s">
        <v>87</v>
      </c>
      <c r="E15" s="38"/>
      <c r="F15" s="38"/>
      <c r="G15" s="39"/>
      <c r="H15" s="40" t="s">
        <v>115</v>
      </c>
      <c r="I15" s="41" t="s">
        <v>116</v>
      </c>
      <c r="J15" s="164" t="s">
        <v>151</v>
      </c>
      <c r="K15" s="164"/>
      <c r="L15" s="85" t="s">
        <v>88</v>
      </c>
      <c r="M15" s="141">
        <v>1234</v>
      </c>
      <c r="N15" s="41" t="s">
        <v>88</v>
      </c>
      <c r="O15" s="141">
        <v>426</v>
      </c>
      <c r="P15" s="41" t="s">
        <v>152</v>
      </c>
      <c r="Q15" s="86">
        <v>2026</v>
      </c>
    </row>
    <row r="16" spans="2:17" ht="22.2" customHeight="1" x14ac:dyDescent="0.4">
      <c r="B16" s="148" t="s">
        <v>89</v>
      </c>
      <c r="C16" s="149"/>
      <c r="D16" s="150"/>
      <c r="E16" s="151"/>
      <c r="F16" s="151"/>
      <c r="G16" s="152"/>
      <c r="H16" s="44" t="s">
        <v>117</v>
      </c>
      <c r="I16" s="90" t="s">
        <v>116</v>
      </c>
      <c r="J16" s="90"/>
      <c r="K16" s="91"/>
      <c r="L16" s="92" t="s">
        <v>88</v>
      </c>
      <c r="M16" s="93"/>
      <c r="N16" s="90" t="s">
        <v>88</v>
      </c>
      <c r="O16" s="142"/>
      <c r="P16" s="90"/>
      <c r="Q16" s="47"/>
    </row>
    <row r="17" spans="2:17" ht="22.2" customHeight="1" x14ac:dyDescent="0.4">
      <c r="B17" s="153" t="s">
        <v>90</v>
      </c>
      <c r="C17" s="154"/>
      <c r="D17" s="150"/>
      <c r="E17" s="151"/>
      <c r="F17" s="151"/>
      <c r="G17" s="152"/>
      <c r="Q17" s="47"/>
    </row>
    <row r="18" spans="2:17" ht="22.2" customHeight="1" x14ac:dyDescent="0.4">
      <c r="B18" s="45" t="s">
        <v>91</v>
      </c>
      <c r="C18" s="94"/>
      <c r="D18" s="42"/>
      <c r="E18" s="89"/>
      <c r="F18" s="89"/>
      <c r="G18" s="43"/>
      <c r="H18" s="48"/>
      <c r="I18" s="49"/>
      <c r="J18" s="49"/>
      <c r="K18" s="49"/>
      <c r="L18" s="49"/>
      <c r="M18" s="49"/>
      <c r="N18" s="49"/>
      <c r="O18" s="49"/>
      <c r="P18" s="49"/>
      <c r="Q18" s="50"/>
    </row>
    <row r="19" spans="2:17" ht="22.2" customHeight="1" x14ac:dyDescent="0.4">
      <c r="B19" s="45" t="s">
        <v>93</v>
      </c>
      <c r="C19" s="94"/>
      <c r="D19" s="150"/>
      <c r="E19" s="151"/>
      <c r="F19" s="151"/>
      <c r="G19" s="152"/>
      <c r="H19" s="51" t="s">
        <v>92</v>
      </c>
      <c r="I19" s="95"/>
      <c r="J19" s="95"/>
      <c r="Q19" s="47"/>
    </row>
    <row r="20" spans="2:17" ht="22.2" customHeight="1" x14ac:dyDescent="0.4">
      <c r="B20" s="45" t="s">
        <v>96</v>
      </c>
      <c r="C20" s="94"/>
      <c r="D20" s="160" t="s">
        <v>94</v>
      </c>
      <c r="E20" s="161"/>
      <c r="F20" s="161"/>
      <c r="G20" s="162"/>
      <c r="H20" s="96" t="s">
        <v>128</v>
      </c>
      <c r="I20" s="90" t="s">
        <v>116</v>
      </c>
      <c r="J20" s="90"/>
      <c r="K20" s="96" t="s">
        <v>95</v>
      </c>
      <c r="L20" s="96"/>
      <c r="M20" s="96"/>
      <c r="N20" s="96"/>
      <c r="O20" s="96"/>
      <c r="P20" s="96"/>
      <c r="Q20" s="47"/>
    </row>
    <row r="21" spans="2:17" ht="22.2" customHeight="1" x14ac:dyDescent="0.4">
      <c r="B21" s="163" t="s">
        <v>98</v>
      </c>
      <c r="C21" s="159"/>
      <c r="D21" s="53" t="s">
        <v>118</v>
      </c>
      <c r="E21" s="154" t="s">
        <v>119</v>
      </c>
      <c r="F21" s="154"/>
      <c r="G21" s="155"/>
      <c r="H21" s="96" t="s">
        <v>129</v>
      </c>
      <c r="I21" s="90" t="s">
        <v>116</v>
      </c>
      <c r="J21" s="90"/>
      <c r="K21" s="96" t="s">
        <v>97</v>
      </c>
      <c r="L21" s="96"/>
      <c r="M21" s="96"/>
      <c r="N21" s="96"/>
      <c r="O21" s="96"/>
      <c r="P21" s="96"/>
      <c r="Q21" s="47"/>
    </row>
    <row r="22" spans="2:17" ht="22.2" customHeight="1" x14ac:dyDescent="0.4">
      <c r="B22" s="52"/>
      <c r="D22" s="53" t="s">
        <v>120</v>
      </c>
      <c r="E22" s="156" t="s">
        <v>121</v>
      </c>
      <c r="F22" s="156"/>
      <c r="G22" s="157"/>
      <c r="H22" s="49"/>
      <c r="I22" s="49"/>
      <c r="J22" s="49"/>
      <c r="K22" s="49"/>
      <c r="L22" s="49"/>
      <c r="M22" s="49"/>
      <c r="N22" s="49"/>
      <c r="O22" s="49"/>
      <c r="P22" s="49"/>
      <c r="Q22" s="50"/>
    </row>
    <row r="23" spans="2:17" ht="22.2" customHeight="1" x14ac:dyDescent="0.4">
      <c r="B23" s="52"/>
      <c r="D23" s="54" t="s">
        <v>122</v>
      </c>
      <c r="E23" s="158" t="s">
        <v>123</v>
      </c>
      <c r="F23" s="158"/>
      <c r="G23" s="159"/>
      <c r="H23" s="55" t="s">
        <v>130</v>
      </c>
      <c r="I23" s="56" t="s">
        <v>116</v>
      </c>
      <c r="J23" s="56"/>
      <c r="K23" s="143"/>
      <c r="L23" s="143"/>
      <c r="M23" s="143"/>
      <c r="N23" s="143"/>
      <c r="O23" s="143"/>
      <c r="P23" s="143"/>
      <c r="Q23" s="144"/>
    </row>
    <row r="24" spans="2:17" ht="22.2" customHeight="1" x14ac:dyDescent="0.4">
      <c r="B24" s="52"/>
      <c r="D24" s="54" t="s">
        <v>124</v>
      </c>
      <c r="E24" s="158" t="s">
        <v>125</v>
      </c>
      <c r="F24" s="158"/>
      <c r="G24" s="159"/>
      <c r="H24" s="96"/>
      <c r="I24" s="96"/>
      <c r="J24" s="96"/>
      <c r="K24" s="156"/>
      <c r="L24" s="156"/>
      <c r="M24" s="156"/>
      <c r="N24" s="156"/>
      <c r="O24" s="156"/>
      <c r="P24" s="156"/>
      <c r="Q24" s="165"/>
    </row>
    <row r="25" spans="2:17" ht="22.2" customHeight="1" x14ac:dyDescent="0.4">
      <c r="B25" s="57"/>
      <c r="C25" s="58" t="s">
        <v>99</v>
      </c>
      <c r="D25" s="59" t="s">
        <v>126</v>
      </c>
      <c r="E25" s="166" t="s">
        <v>127</v>
      </c>
      <c r="F25" s="166"/>
      <c r="G25" s="173"/>
      <c r="H25" s="49"/>
      <c r="I25" s="49"/>
      <c r="J25" s="49"/>
      <c r="K25" s="166"/>
      <c r="L25" s="166"/>
      <c r="M25" s="166"/>
      <c r="N25" s="166"/>
      <c r="O25" s="166"/>
      <c r="P25" s="166"/>
      <c r="Q25" s="167"/>
    </row>
    <row r="26" spans="2:17" ht="17.100000000000001" customHeight="1" x14ac:dyDescent="0.4">
      <c r="B26" s="57"/>
      <c r="C26" s="58"/>
      <c r="D26" s="59"/>
      <c r="E26" s="60"/>
      <c r="F26" s="61"/>
      <c r="G26" s="48"/>
      <c r="H26" s="49"/>
      <c r="I26" s="49"/>
      <c r="J26" s="49"/>
      <c r="K26" s="60"/>
      <c r="L26" s="60"/>
      <c r="M26" s="60"/>
      <c r="N26" s="60"/>
      <c r="O26" s="60"/>
      <c r="P26" s="60"/>
      <c r="Q26" s="50"/>
    </row>
    <row r="27" spans="2:17" ht="50.4" customHeight="1" x14ac:dyDescent="0.4">
      <c r="B27" s="168" t="s">
        <v>100</v>
      </c>
      <c r="C27" s="169"/>
      <c r="D27" s="62" t="s">
        <v>15</v>
      </c>
      <c r="E27" s="63" t="s">
        <v>101</v>
      </c>
      <c r="F27" s="64" t="s">
        <v>102</v>
      </c>
      <c r="G27" s="65" t="s">
        <v>103</v>
      </c>
      <c r="H27" s="66" t="s">
        <v>104</v>
      </c>
      <c r="I27" s="174" t="s">
        <v>105</v>
      </c>
      <c r="J27" s="175"/>
      <c r="K27" s="170" t="s">
        <v>106</v>
      </c>
      <c r="L27" s="171"/>
      <c r="M27" s="171"/>
      <c r="N27" s="171"/>
      <c r="O27" s="171"/>
      <c r="P27" s="171"/>
      <c r="Q27" s="172"/>
    </row>
    <row r="28" spans="2:17" ht="22.2" customHeight="1" x14ac:dyDescent="0.4">
      <c r="B28" s="176"/>
      <c r="C28" s="177"/>
      <c r="D28" s="89"/>
      <c r="E28" s="105" t="str">
        <f>IFERROR(VLOOKUP(B28,ServiceTable[[Service]:[GST]],2,FALSE),"")</f>
        <v/>
      </c>
      <c r="F28" s="67"/>
      <c r="G28" s="68"/>
      <c r="H28" s="111"/>
      <c r="I28" s="191" t="str">
        <f>IFERROR(VLOOKUP(B28,ServiceTable[[Service]:[GST]],4,FALSE),"")</f>
        <v/>
      </c>
      <c r="J28" s="192"/>
      <c r="K28" s="178" t="str">
        <f t="shared" ref="K28:K52" si="0">IF((H28*F28-H28*F28*G28)&gt;0, H28*F28-H28*F28*G28, "")</f>
        <v/>
      </c>
      <c r="L28" s="179"/>
      <c r="M28" s="179"/>
      <c r="N28" s="179"/>
      <c r="O28" s="179"/>
      <c r="P28" s="179"/>
      <c r="Q28" s="180"/>
    </row>
    <row r="29" spans="2:17" ht="22.2" customHeight="1" x14ac:dyDescent="0.4">
      <c r="B29" s="181"/>
      <c r="C29" s="182"/>
      <c r="D29" s="89"/>
      <c r="E29" s="106" t="str">
        <f>IFERROR(VLOOKUP(B29,ServiceTable[[Service]:[GST]],2,FALSE),"")</f>
        <v/>
      </c>
      <c r="F29" s="69"/>
      <c r="G29" s="70"/>
      <c r="H29" s="112"/>
      <c r="I29" s="193" t="str">
        <f>IFERROR(VLOOKUP(B29,ServiceTable[[Service]:[GST]],4,FALSE),"")</f>
        <v/>
      </c>
      <c r="J29" s="194"/>
      <c r="K29" s="183" t="str">
        <f t="shared" si="0"/>
        <v/>
      </c>
      <c r="L29" s="184"/>
      <c r="M29" s="184"/>
      <c r="N29" s="184"/>
      <c r="O29" s="184"/>
      <c r="P29" s="184"/>
      <c r="Q29" s="185"/>
    </row>
    <row r="30" spans="2:17" ht="22.2" customHeight="1" x14ac:dyDescent="0.4">
      <c r="B30" s="186"/>
      <c r="C30" s="187"/>
      <c r="D30" s="89"/>
      <c r="E30" s="107" t="str">
        <f>IFERROR(VLOOKUP(B30,ServiceTable[[Service]:[GST]],2,FALSE),"")</f>
        <v/>
      </c>
      <c r="F30" s="71"/>
      <c r="G30" s="72"/>
      <c r="H30" s="113"/>
      <c r="I30" s="195" t="str">
        <f>IFERROR(VLOOKUP(B30,ServiceTable[[Service]:[GST]],4,FALSE),"")</f>
        <v/>
      </c>
      <c r="J30" s="196"/>
      <c r="K30" s="188" t="str">
        <f t="shared" si="0"/>
        <v/>
      </c>
      <c r="L30" s="189"/>
      <c r="M30" s="189"/>
      <c r="N30" s="189"/>
      <c r="O30" s="189"/>
      <c r="P30" s="189"/>
      <c r="Q30" s="190"/>
    </row>
    <row r="31" spans="2:17" ht="22.2" customHeight="1" x14ac:dyDescent="0.4">
      <c r="B31" s="186"/>
      <c r="C31" s="187"/>
      <c r="D31" s="89"/>
      <c r="E31" s="107" t="str">
        <f>IFERROR(VLOOKUP(B31,ServiceTable[[Service]:[GST]],2,FALSE),"")</f>
        <v/>
      </c>
      <c r="F31" s="71"/>
      <c r="G31" s="72"/>
      <c r="H31" s="113"/>
      <c r="I31" s="195" t="str">
        <f>IFERROR(VLOOKUP(B31,ServiceTable[[Service]:[GST]],4,FALSE),"")</f>
        <v/>
      </c>
      <c r="J31" s="196"/>
      <c r="K31" s="188" t="str">
        <f t="shared" si="0"/>
        <v/>
      </c>
      <c r="L31" s="189"/>
      <c r="M31" s="189"/>
      <c r="N31" s="189"/>
      <c r="O31" s="189"/>
      <c r="P31" s="189"/>
      <c r="Q31" s="190"/>
    </row>
    <row r="32" spans="2:17" ht="22.2" customHeight="1" x14ac:dyDescent="0.4">
      <c r="B32" s="186"/>
      <c r="C32" s="187"/>
      <c r="D32" s="89"/>
      <c r="E32" s="107" t="str">
        <f>IFERROR(VLOOKUP(B32,ServiceTable[[Service]:[GST]],2,FALSE),"")</f>
        <v/>
      </c>
      <c r="F32" s="71"/>
      <c r="G32" s="72"/>
      <c r="H32" s="113"/>
      <c r="I32" s="195" t="str">
        <f>IFERROR(VLOOKUP(B32,ServiceTable[[Service]:[GST]],4,FALSE),"")</f>
        <v/>
      </c>
      <c r="J32" s="196"/>
      <c r="K32" s="188" t="str">
        <f t="shared" si="0"/>
        <v/>
      </c>
      <c r="L32" s="189"/>
      <c r="M32" s="189"/>
      <c r="N32" s="189"/>
      <c r="O32" s="189"/>
      <c r="P32" s="189"/>
      <c r="Q32" s="190"/>
    </row>
    <row r="33" spans="2:17" ht="22.2" customHeight="1" x14ac:dyDescent="0.4">
      <c r="B33" s="186"/>
      <c r="C33" s="187"/>
      <c r="D33" s="89"/>
      <c r="E33" s="107" t="str">
        <f>IFERROR(VLOOKUP(B33,ServiceTable[[Service]:[GST]],2,FALSE),"")</f>
        <v/>
      </c>
      <c r="F33" s="71"/>
      <c r="G33" s="72"/>
      <c r="H33" s="113"/>
      <c r="I33" s="195" t="str">
        <f>IFERROR(VLOOKUP(B33,ServiceTable[[Service]:[GST]],4,FALSE),"")</f>
        <v/>
      </c>
      <c r="J33" s="196"/>
      <c r="K33" s="188" t="str">
        <f t="shared" si="0"/>
        <v/>
      </c>
      <c r="L33" s="189"/>
      <c r="M33" s="189"/>
      <c r="N33" s="189"/>
      <c r="O33" s="189"/>
      <c r="P33" s="189"/>
      <c r="Q33" s="190"/>
    </row>
    <row r="34" spans="2:17" ht="22.2" customHeight="1" x14ac:dyDescent="0.4">
      <c r="B34" s="186"/>
      <c r="C34" s="187"/>
      <c r="D34" s="89"/>
      <c r="E34" s="107" t="str">
        <f>IFERROR(VLOOKUP(B34,ServiceTable[[Service]:[GST]],2,FALSE),"")</f>
        <v/>
      </c>
      <c r="F34" s="71"/>
      <c r="G34" s="72"/>
      <c r="H34" s="113"/>
      <c r="I34" s="195" t="str">
        <f>IFERROR(VLOOKUP(B34,ServiceTable[[Service]:[GST]],4,FALSE),"")</f>
        <v/>
      </c>
      <c r="J34" s="196"/>
      <c r="K34" s="188" t="str">
        <f t="shared" si="0"/>
        <v/>
      </c>
      <c r="L34" s="189"/>
      <c r="M34" s="189"/>
      <c r="N34" s="189"/>
      <c r="O34" s="189"/>
      <c r="P34" s="189"/>
      <c r="Q34" s="190"/>
    </row>
    <row r="35" spans="2:17" ht="22.2" customHeight="1" x14ac:dyDescent="0.4">
      <c r="B35" s="186"/>
      <c r="C35" s="187"/>
      <c r="D35" s="89"/>
      <c r="E35" s="107" t="str">
        <f>IFERROR(VLOOKUP(B35,ServiceTable[[Service]:[GST]],2,FALSE),"")</f>
        <v/>
      </c>
      <c r="F35" s="71"/>
      <c r="G35" s="72"/>
      <c r="H35" s="113"/>
      <c r="I35" s="195" t="str">
        <f>IFERROR(VLOOKUP(B35,ServiceTable[[Service]:[GST]],4,FALSE),"")</f>
        <v/>
      </c>
      <c r="J35" s="196"/>
      <c r="K35" s="188" t="str">
        <f t="shared" si="0"/>
        <v/>
      </c>
      <c r="L35" s="189"/>
      <c r="M35" s="189"/>
      <c r="N35" s="189"/>
      <c r="O35" s="189"/>
      <c r="P35" s="189"/>
      <c r="Q35" s="190"/>
    </row>
    <row r="36" spans="2:17" ht="22.2" customHeight="1" x14ac:dyDescent="0.4">
      <c r="B36" s="197"/>
      <c r="C36" s="152"/>
      <c r="D36" s="89"/>
      <c r="E36" s="108" t="str">
        <f>IFERROR(VLOOKUP(B36,ServiceTable[[Service]:[GST]],2,FALSE),"")</f>
        <v/>
      </c>
      <c r="F36" s="73"/>
      <c r="G36" s="74"/>
      <c r="H36" s="114"/>
      <c r="I36" s="198" t="str">
        <f>IFERROR(VLOOKUP(B36,ServiceTable[[Service]:[GST]],4,FALSE),"")</f>
        <v/>
      </c>
      <c r="J36" s="199"/>
      <c r="K36" s="188" t="str">
        <f t="shared" si="0"/>
        <v/>
      </c>
      <c r="L36" s="189"/>
      <c r="M36" s="189"/>
      <c r="N36" s="189"/>
      <c r="O36" s="189"/>
      <c r="P36" s="189"/>
      <c r="Q36" s="190"/>
    </row>
    <row r="37" spans="2:17" ht="22.2" customHeight="1" x14ac:dyDescent="0.4">
      <c r="B37" s="197"/>
      <c r="C37" s="152"/>
      <c r="D37" s="89"/>
      <c r="E37" s="108" t="str">
        <f>IFERROR(VLOOKUP(B37,ServiceTable[[Service]:[GST]],2,FALSE),"")</f>
        <v/>
      </c>
      <c r="F37" s="73"/>
      <c r="G37" s="74"/>
      <c r="H37" s="114"/>
      <c r="I37" s="198" t="str">
        <f>IFERROR(VLOOKUP(B37,ServiceTable[[Service]:[GST]],4,FALSE),"")</f>
        <v/>
      </c>
      <c r="J37" s="199"/>
      <c r="K37" s="188" t="str">
        <f t="shared" si="0"/>
        <v/>
      </c>
      <c r="L37" s="189"/>
      <c r="M37" s="189"/>
      <c r="N37" s="189"/>
      <c r="O37" s="189"/>
      <c r="P37" s="189"/>
      <c r="Q37" s="190"/>
    </row>
    <row r="38" spans="2:17" ht="22.2" customHeight="1" x14ac:dyDescent="0.4">
      <c r="B38" s="197"/>
      <c r="C38" s="152"/>
      <c r="D38" s="89"/>
      <c r="E38" s="108" t="str">
        <f>IFERROR(VLOOKUP(B38,ServiceTable[[Service]:[GST]],2,FALSE),"")</f>
        <v/>
      </c>
      <c r="F38" s="73"/>
      <c r="G38" s="74"/>
      <c r="H38" s="114"/>
      <c r="I38" s="198" t="str">
        <f>IFERROR(VLOOKUP(B38,ServiceTable[[Service]:[GST]],4,FALSE),"")</f>
        <v/>
      </c>
      <c r="J38" s="199"/>
      <c r="K38" s="188" t="str">
        <f t="shared" si="0"/>
        <v/>
      </c>
      <c r="L38" s="189"/>
      <c r="M38" s="189"/>
      <c r="N38" s="189"/>
      <c r="O38" s="189"/>
      <c r="P38" s="189"/>
      <c r="Q38" s="190"/>
    </row>
    <row r="39" spans="2:17" ht="22.2" customHeight="1" x14ac:dyDescent="0.4">
      <c r="B39" s="197"/>
      <c r="C39" s="152"/>
      <c r="D39" s="89"/>
      <c r="E39" s="108" t="str">
        <f>IFERROR(VLOOKUP(B39,ServiceTable[[Service]:[GST]],2,FALSE),"")</f>
        <v/>
      </c>
      <c r="F39" s="73"/>
      <c r="G39" s="74"/>
      <c r="H39" s="114"/>
      <c r="I39" s="198" t="str">
        <f>IFERROR(VLOOKUP(B39,ServiceTable[[Service]:[GST]],4,FALSE),"")</f>
        <v/>
      </c>
      <c r="J39" s="199"/>
      <c r="K39" s="188" t="str">
        <f t="shared" si="0"/>
        <v/>
      </c>
      <c r="L39" s="189"/>
      <c r="M39" s="189"/>
      <c r="N39" s="189"/>
      <c r="O39" s="189"/>
      <c r="P39" s="189"/>
      <c r="Q39" s="190"/>
    </row>
    <row r="40" spans="2:17" ht="22.2" customHeight="1" x14ac:dyDescent="0.4">
      <c r="B40" s="197"/>
      <c r="C40" s="152"/>
      <c r="D40" s="89"/>
      <c r="E40" s="108" t="str">
        <f>IFERROR(VLOOKUP(B40,ServiceTable[[Service]:[GST]],2,FALSE),"")</f>
        <v/>
      </c>
      <c r="F40" s="73"/>
      <c r="G40" s="74"/>
      <c r="H40" s="114"/>
      <c r="I40" s="198" t="str">
        <f>IFERROR(VLOOKUP(B40,ServiceTable[[Service]:[GST]],4,FALSE),"")</f>
        <v/>
      </c>
      <c r="J40" s="199"/>
      <c r="K40" s="188" t="str">
        <f t="shared" si="0"/>
        <v/>
      </c>
      <c r="L40" s="189"/>
      <c r="M40" s="189"/>
      <c r="N40" s="189"/>
      <c r="O40" s="189"/>
      <c r="P40" s="189"/>
      <c r="Q40" s="190"/>
    </row>
    <row r="41" spans="2:17" ht="22.2" customHeight="1" x14ac:dyDescent="0.4">
      <c r="B41" s="197"/>
      <c r="C41" s="152"/>
      <c r="D41" s="89"/>
      <c r="E41" s="108" t="str">
        <f>IFERROR(VLOOKUP(B41,ServiceTable[[Service]:[GST]],2,FALSE),"")</f>
        <v/>
      </c>
      <c r="F41" s="73"/>
      <c r="G41" s="74"/>
      <c r="H41" s="114"/>
      <c r="I41" s="198" t="str">
        <f>IFERROR(VLOOKUP(B41,ServiceTable[[Service]:[GST]],4,FALSE),"")</f>
        <v/>
      </c>
      <c r="J41" s="199"/>
      <c r="K41" s="188" t="str">
        <f t="shared" si="0"/>
        <v/>
      </c>
      <c r="L41" s="189"/>
      <c r="M41" s="189"/>
      <c r="N41" s="189"/>
      <c r="O41" s="189"/>
      <c r="P41" s="189"/>
      <c r="Q41" s="190"/>
    </row>
    <row r="42" spans="2:17" ht="22.2" customHeight="1" x14ac:dyDescent="0.4">
      <c r="B42" s="197"/>
      <c r="C42" s="152"/>
      <c r="D42" s="89"/>
      <c r="E42" s="108" t="str">
        <f>IFERROR(VLOOKUP(B42,ServiceTable[[Service]:[GST]],2,FALSE),"")</f>
        <v/>
      </c>
      <c r="F42" s="73"/>
      <c r="G42" s="74"/>
      <c r="H42" s="114"/>
      <c r="I42" s="198" t="str">
        <f>IFERROR(VLOOKUP(B42,ServiceTable[[Service]:[GST]],4,FALSE),"")</f>
        <v/>
      </c>
      <c r="J42" s="199"/>
      <c r="K42" s="188" t="str">
        <f t="shared" si="0"/>
        <v/>
      </c>
      <c r="L42" s="189"/>
      <c r="M42" s="189"/>
      <c r="N42" s="189"/>
      <c r="O42" s="189"/>
      <c r="P42" s="189"/>
      <c r="Q42" s="190"/>
    </row>
    <row r="43" spans="2:17" ht="22.2" customHeight="1" x14ac:dyDescent="0.4">
      <c r="B43" s="197"/>
      <c r="C43" s="152"/>
      <c r="D43" s="89"/>
      <c r="E43" s="108" t="str">
        <f>IFERROR(VLOOKUP(B43,ServiceTable[[Service]:[GST]],2,FALSE),"")</f>
        <v/>
      </c>
      <c r="F43" s="73"/>
      <c r="G43" s="74"/>
      <c r="H43" s="114"/>
      <c r="I43" s="198" t="str">
        <f>IFERROR(VLOOKUP(B43,ServiceTable[[Service]:[GST]],4,FALSE),"")</f>
        <v/>
      </c>
      <c r="J43" s="199"/>
      <c r="K43" s="188" t="str">
        <f t="shared" si="0"/>
        <v/>
      </c>
      <c r="L43" s="189"/>
      <c r="M43" s="189"/>
      <c r="N43" s="189"/>
      <c r="O43" s="189"/>
      <c r="P43" s="189"/>
      <c r="Q43" s="190"/>
    </row>
    <row r="44" spans="2:17" ht="22.2" customHeight="1" x14ac:dyDescent="0.4">
      <c r="B44" s="197"/>
      <c r="C44" s="152"/>
      <c r="D44" s="89"/>
      <c r="E44" s="108" t="str">
        <f>IFERROR(VLOOKUP(B44,ServiceTable[[Service]:[GST]],2,FALSE),"")</f>
        <v/>
      </c>
      <c r="F44" s="73"/>
      <c r="G44" s="74"/>
      <c r="H44" s="114"/>
      <c r="I44" s="198" t="str">
        <f>IFERROR(VLOOKUP(B44,ServiceTable[[Service]:[GST]],4,FALSE),"")</f>
        <v/>
      </c>
      <c r="J44" s="199"/>
      <c r="K44" s="188" t="str">
        <f t="shared" si="0"/>
        <v/>
      </c>
      <c r="L44" s="189"/>
      <c r="M44" s="189"/>
      <c r="N44" s="189"/>
      <c r="O44" s="189"/>
      <c r="P44" s="189"/>
      <c r="Q44" s="190"/>
    </row>
    <row r="45" spans="2:17" ht="22.2" customHeight="1" x14ac:dyDescent="0.4">
      <c r="B45" s="197"/>
      <c r="C45" s="152"/>
      <c r="D45" s="89"/>
      <c r="E45" s="108" t="str">
        <f>IFERROR(VLOOKUP(B45,ServiceTable[[Service]:[GST]],2,FALSE),"")</f>
        <v/>
      </c>
      <c r="F45" s="73"/>
      <c r="G45" s="74"/>
      <c r="H45" s="114"/>
      <c r="I45" s="198" t="str">
        <f>IFERROR(VLOOKUP(B45,ServiceTable[[Service]:[GST]],4,FALSE),"")</f>
        <v/>
      </c>
      <c r="J45" s="199"/>
      <c r="K45" s="188" t="str">
        <f t="shared" si="0"/>
        <v/>
      </c>
      <c r="L45" s="189"/>
      <c r="M45" s="189"/>
      <c r="N45" s="189"/>
      <c r="O45" s="189"/>
      <c r="P45" s="189"/>
      <c r="Q45" s="190"/>
    </row>
    <row r="46" spans="2:17" ht="22.2" customHeight="1" x14ac:dyDescent="0.4">
      <c r="B46" s="197"/>
      <c r="C46" s="152"/>
      <c r="D46" s="89"/>
      <c r="E46" s="108" t="str">
        <f>IFERROR(VLOOKUP(B46,ServiceTable[[Service]:[GST]],2,FALSE),"")</f>
        <v/>
      </c>
      <c r="F46" s="73"/>
      <c r="G46" s="74"/>
      <c r="H46" s="114"/>
      <c r="I46" s="198" t="str">
        <f>IFERROR(VLOOKUP(B46,ServiceTable[[Service]:[GST]],4,FALSE),"")</f>
        <v/>
      </c>
      <c r="J46" s="199"/>
      <c r="K46" s="188" t="str">
        <f t="shared" si="0"/>
        <v/>
      </c>
      <c r="L46" s="189"/>
      <c r="M46" s="189"/>
      <c r="N46" s="189"/>
      <c r="O46" s="189"/>
      <c r="P46" s="189"/>
      <c r="Q46" s="190"/>
    </row>
    <row r="47" spans="2:17" ht="22.2" customHeight="1" x14ac:dyDescent="0.4">
      <c r="B47" s="197"/>
      <c r="C47" s="152"/>
      <c r="D47" s="89"/>
      <c r="E47" s="108" t="str">
        <f>IFERROR(VLOOKUP(B47,ServiceTable[[Service]:[GST]],2,FALSE),"")</f>
        <v/>
      </c>
      <c r="F47" s="73"/>
      <c r="G47" s="74"/>
      <c r="H47" s="114"/>
      <c r="I47" s="198" t="str">
        <f>IFERROR(VLOOKUP(B47,ServiceTable[[Service]:[GST]],4,FALSE),"")</f>
        <v/>
      </c>
      <c r="J47" s="199"/>
      <c r="K47" s="188" t="str">
        <f t="shared" si="0"/>
        <v/>
      </c>
      <c r="L47" s="189"/>
      <c r="M47" s="189"/>
      <c r="N47" s="189"/>
      <c r="O47" s="189"/>
      <c r="P47" s="189"/>
      <c r="Q47" s="190"/>
    </row>
    <row r="48" spans="2:17" ht="22.2" customHeight="1" x14ac:dyDescent="0.4">
      <c r="B48" s="197"/>
      <c r="C48" s="152"/>
      <c r="D48" s="89"/>
      <c r="E48" s="108" t="str">
        <f>IFERROR(VLOOKUP(B48,ServiceTable[[Service]:[GST]],2,FALSE),"")</f>
        <v/>
      </c>
      <c r="F48" s="73"/>
      <c r="G48" s="74"/>
      <c r="H48" s="114"/>
      <c r="I48" s="198" t="str">
        <f>IFERROR(VLOOKUP(B48,ServiceTable[[Service]:[GST]],4,FALSE),"")</f>
        <v/>
      </c>
      <c r="J48" s="199"/>
      <c r="K48" s="188" t="str">
        <f t="shared" si="0"/>
        <v/>
      </c>
      <c r="L48" s="189"/>
      <c r="M48" s="189"/>
      <c r="N48" s="189"/>
      <c r="O48" s="189"/>
      <c r="P48" s="189"/>
      <c r="Q48" s="190"/>
    </row>
    <row r="49" spans="2:17" ht="22.2" customHeight="1" x14ac:dyDescent="0.4">
      <c r="B49" s="200"/>
      <c r="C49" s="201"/>
      <c r="D49" s="89"/>
      <c r="E49" s="109" t="str">
        <f>IFERROR(VLOOKUP(B49,ServiceTable[[Service]:[GST]],2,FALSE),"")</f>
        <v/>
      </c>
      <c r="F49" s="75"/>
      <c r="G49" s="76"/>
      <c r="H49" s="115"/>
      <c r="I49" s="202" t="str">
        <f>IFERROR(VLOOKUP(B49,ServiceTable[[Service]:[GST]],4,FALSE),"")</f>
        <v/>
      </c>
      <c r="J49" s="203"/>
      <c r="K49" s="188" t="str">
        <f t="shared" si="0"/>
        <v/>
      </c>
      <c r="L49" s="189"/>
      <c r="M49" s="189"/>
      <c r="N49" s="189"/>
      <c r="O49" s="189"/>
      <c r="P49" s="189"/>
      <c r="Q49" s="190"/>
    </row>
    <row r="50" spans="2:17" ht="22.2" customHeight="1" x14ac:dyDescent="0.4">
      <c r="B50" s="200"/>
      <c r="C50" s="201"/>
      <c r="D50" s="89"/>
      <c r="E50" s="109" t="str">
        <f>IFERROR(VLOOKUP(B50,ServiceTable[[Service]:[GST]],2,FALSE),"")</f>
        <v/>
      </c>
      <c r="F50" s="75"/>
      <c r="G50" s="76"/>
      <c r="H50" s="115"/>
      <c r="I50" s="202" t="str">
        <f>IFERROR(VLOOKUP(B50,ServiceTable[[Service]:[GST]],4,FALSE),"")</f>
        <v/>
      </c>
      <c r="J50" s="203"/>
      <c r="K50" s="188" t="str">
        <f t="shared" si="0"/>
        <v/>
      </c>
      <c r="L50" s="189"/>
      <c r="M50" s="189"/>
      <c r="N50" s="189"/>
      <c r="O50" s="189"/>
      <c r="P50" s="189"/>
      <c r="Q50" s="190"/>
    </row>
    <row r="51" spans="2:17" ht="22.2" customHeight="1" x14ac:dyDescent="0.4">
      <c r="B51" s="200"/>
      <c r="C51" s="201"/>
      <c r="D51" s="89"/>
      <c r="E51" s="109" t="str">
        <f>IFERROR(VLOOKUP(B51,ServiceTable[[Service]:[GST]],2,FALSE),"")</f>
        <v/>
      </c>
      <c r="F51" s="75"/>
      <c r="G51" s="76"/>
      <c r="H51" s="115"/>
      <c r="I51" s="202" t="str">
        <f>IFERROR(VLOOKUP(B51,ServiceTable[[Service]:[GST]],4,FALSE),"")</f>
        <v/>
      </c>
      <c r="J51" s="203"/>
      <c r="K51" s="188" t="str">
        <f t="shared" si="0"/>
        <v/>
      </c>
      <c r="L51" s="189"/>
      <c r="M51" s="189"/>
      <c r="N51" s="189"/>
      <c r="O51" s="189"/>
      <c r="P51" s="189"/>
      <c r="Q51" s="190"/>
    </row>
    <row r="52" spans="2:17" ht="22.2" customHeight="1" x14ac:dyDescent="0.4">
      <c r="B52" s="204"/>
      <c r="C52" s="205"/>
      <c r="D52" s="89"/>
      <c r="E52" s="110" t="str">
        <f>IFERROR(VLOOKUP(B52,ServiceTable[[Service]:[GST]],2,FALSE),"")</f>
        <v/>
      </c>
      <c r="F52" s="75"/>
      <c r="G52" s="76"/>
      <c r="H52" s="115"/>
      <c r="I52" s="202" t="str">
        <f>IFERROR(VLOOKUP(B52,ServiceTable[[Service]:[GST]],4,FALSE),"")</f>
        <v/>
      </c>
      <c r="J52" s="203"/>
      <c r="K52" s="188" t="str">
        <f t="shared" si="0"/>
        <v/>
      </c>
      <c r="L52" s="189"/>
      <c r="M52" s="189"/>
      <c r="N52" s="189"/>
      <c r="O52" s="189"/>
      <c r="P52" s="189"/>
      <c r="Q52" s="190"/>
    </row>
    <row r="53" spans="2:17" ht="22.2" customHeight="1" x14ac:dyDescent="0.4">
      <c r="B53" s="206"/>
      <c r="C53" s="207"/>
      <c r="D53" s="42"/>
      <c r="E53" s="78" t="str">
        <f>IFERROR(VLOOKUP(B53,ServiceTable[[Service]:[GST]],2,FALSE),"")</f>
        <v/>
      </c>
      <c r="F53" s="75"/>
      <c r="G53" s="77"/>
      <c r="H53" s="116"/>
      <c r="I53" s="226" t="str">
        <f>IFERROR(VLOOKUP(B53,ServiceTable[[Service]:[GST]],4,FALSE),"")</f>
        <v/>
      </c>
      <c r="J53" s="227"/>
      <c r="K53" s="208"/>
      <c r="L53" s="209"/>
      <c r="M53" s="209"/>
      <c r="N53" s="209"/>
      <c r="O53" s="209"/>
      <c r="P53" s="209"/>
      <c r="Q53" s="210"/>
    </row>
    <row r="54" spans="2:17" ht="30" customHeight="1" x14ac:dyDescent="0.4">
      <c r="B54" s="223"/>
      <c r="C54" s="223"/>
      <c r="D54" s="223"/>
      <c r="E54" s="224" t="s">
        <v>157</v>
      </c>
      <c r="F54" s="211" t="str">
        <f>IF(SUM(F28:F53), SUM(F28:F53), "")</f>
        <v/>
      </c>
      <c r="G54" s="219"/>
      <c r="H54" s="220"/>
      <c r="I54" s="228" t="s">
        <v>107</v>
      </c>
      <c r="J54" s="229"/>
      <c r="K54" s="213" t="str">
        <f>IF((SUMPRODUCT(I28:I53,K28:K53))&gt;0,(SUMPRODUCT(I28:I53,K28:K53))," ")</f>
        <v xml:space="preserve"> </v>
      </c>
      <c r="L54" s="214"/>
      <c r="M54" s="214"/>
      <c r="N54" s="214"/>
      <c r="O54" s="214"/>
      <c r="P54" s="214"/>
      <c r="Q54" s="215"/>
    </row>
    <row r="55" spans="2:17" ht="30" customHeight="1" x14ac:dyDescent="0.4">
      <c r="B55" s="223"/>
      <c r="C55" s="223"/>
      <c r="D55" s="223"/>
      <c r="E55" s="225"/>
      <c r="F55" s="212"/>
      <c r="G55" s="221"/>
      <c r="H55" s="222"/>
      <c r="I55" s="230"/>
      <c r="J55" s="231"/>
      <c r="K55" s="216"/>
      <c r="L55" s="217"/>
      <c r="M55" s="217"/>
      <c r="N55" s="217"/>
      <c r="O55" s="217"/>
      <c r="P55" s="217"/>
      <c r="Q55" s="218"/>
    </row>
    <row r="56" spans="2:17" ht="17.100000000000001" customHeight="1" x14ac:dyDescent="0.4">
      <c r="B56" s="237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9"/>
    </row>
    <row r="57" spans="2:17" ht="30" customHeight="1" x14ac:dyDescent="0.4">
      <c r="B57" s="240" t="s">
        <v>108</v>
      </c>
      <c r="C57" s="243"/>
      <c r="D57" s="244"/>
      <c r="E57" s="244"/>
      <c r="F57" s="244"/>
      <c r="G57" s="244"/>
      <c r="H57" s="245"/>
      <c r="I57" s="273" t="s">
        <v>109</v>
      </c>
      <c r="J57" s="274"/>
      <c r="K57" s="252" t="str">
        <f>IF(SUM(K28:Q56), SUM(K28:Q56), "")</f>
        <v/>
      </c>
      <c r="L57" s="253"/>
      <c r="M57" s="253"/>
      <c r="N57" s="253"/>
      <c r="O57" s="253"/>
      <c r="P57" s="253"/>
      <c r="Q57" s="254"/>
    </row>
    <row r="58" spans="2:17" ht="30" customHeight="1" x14ac:dyDescent="0.4">
      <c r="B58" s="241"/>
      <c r="C58" s="246"/>
      <c r="D58" s="247"/>
      <c r="E58" s="247"/>
      <c r="F58" s="247"/>
      <c r="G58" s="247"/>
      <c r="H58" s="248"/>
      <c r="I58" s="275"/>
      <c r="J58" s="276"/>
      <c r="K58" s="255"/>
      <c r="L58" s="256"/>
      <c r="M58" s="256"/>
      <c r="N58" s="256"/>
      <c r="O58" s="256"/>
      <c r="P58" s="256"/>
      <c r="Q58" s="257"/>
    </row>
    <row r="59" spans="2:17" ht="30" customHeight="1" x14ac:dyDescent="0.4">
      <c r="B59" s="242"/>
      <c r="C59" s="249"/>
      <c r="D59" s="250"/>
      <c r="E59" s="250"/>
      <c r="F59" s="250"/>
      <c r="G59" s="250"/>
      <c r="H59" s="251"/>
      <c r="I59" s="277"/>
      <c r="J59" s="278"/>
      <c r="K59" s="258"/>
      <c r="L59" s="259"/>
      <c r="M59" s="259"/>
      <c r="N59" s="259"/>
      <c r="O59" s="259"/>
      <c r="P59" s="259"/>
      <c r="Q59" s="260"/>
    </row>
    <row r="60" spans="2:17" ht="24.6" customHeight="1" x14ac:dyDescent="0.4">
      <c r="B60" s="79" t="s">
        <v>110</v>
      </c>
      <c r="C60" s="261"/>
      <c r="D60" s="262"/>
      <c r="E60" s="263" t="s">
        <v>111</v>
      </c>
      <c r="F60" s="263"/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4"/>
    </row>
    <row r="61" spans="2:17" ht="24.6" customHeight="1" x14ac:dyDescent="0.4">
      <c r="B61" s="80"/>
      <c r="C61" s="97"/>
      <c r="D61" s="81"/>
      <c r="E61" s="96"/>
      <c r="F61" s="265"/>
      <c r="G61" s="266"/>
      <c r="H61" s="266"/>
      <c r="I61" s="267"/>
      <c r="J61" s="98"/>
      <c r="K61" s="98"/>
      <c r="L61" s="98"/>
      <c r="M61" s="98"/>
      <c r="Q61" s="47"/>
    </row>
    <row r="62" spans="2:17" ht="24.6" customHeight="1" x14ac:dyDescent="0.4">
      <c r="B62" s="82" t="s">
        <v>112</v>
      </c>
      <c r="C62" s="268"/>
      <c r="D62" s="269"/>
      <c r="E62" s="96"/>
      <c r="F62" s="98"/>
      <c r="G62" s="98"/>
      <c r="H62" s="98"/>
      <c r="I62" s="96"/>
      <c r="J62" s="96"/>
      <c r="K62" s="96"/>
      <c r="L62" s="96"/>
      <c r="M62" s="96"/>
      <c r="Q62" s="47"/>
    </row>
    <row r="63" spans="2:17" ht="24.6" customHeight="1" x14ac:dyDescent="0.4">
      <c r="B63" s="83"/>
      <c r="C63" s="99"/>
      <c r="D63" s="84"/>
      <c r="E63" s="96"/>
      <c r="F63" s="98"/>
      <c r="G63" s="98"/>
      <c r="H63" s="98"/>
      <c r="I63" s="96"/>
      <c r="J63" s="96"/>
      <c r="K63" s="96"/>
      <c r="L63" s="96"/>
      <c r="M63" s="96"/>
      <c r="Q63" s="47"/>
    </row>
    <row r="64" spans="2:17" ht="24.6" customHeight="1" x14ac:dyDescent="0.4">
      <c r="B64" s="270" t="s">
        <v>113</v>
      </c>
      <c r="C64" s="271"/>
      <c r="D64" s="272"/>
      <c r="E64" s="96"/>
      <c r="F64" s="98"/>
      <c r="G64" s="98"/>
      <c r="H64" s="98"/>
      <c r="I64" s="96"/>
      <c r="J64" s="96"/>
      <c r="K64" s="96"/>
      <c r="L64" s="96"/>
      <c r="M64" s="96"/>
      <c r="Q64" s="47"/>
    </row>
    <row r="65" spans="2:17" ht="24.6" customHeight="1" thickBot="1" x14ac:dyDescent="0.45">
      <c r="B65" s="232"/>
      <c r="C65" s="233"/>
      <c r="D65" s="234"/>
      <c r="E65" s="235" t="s">
        <v>114</v>
      </c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6"/>
    </row>
  </sheetData>
  <sheetProtection algorithmName="SHA-512" hashValue="Vp9QBi6+auaadbDfpMACDrzcknQ1/67M/56OsC1zm1h5Hmm4sxrU60GR+k4JS0urwgbnQDCmojQP+XLebE77XQ==" saltValue="whs41aktn0GtDWMBdUAXKA==" spinCount="100000" sheet="1" objects="1" scenarios="1"/>
  <mergeCells count="116">
    <mergeCell ref="B65:D65"/>
    <mergeCell ref="E65:Q65"/>
    <mergeCell ref="B56:Q56"/>
    <mergeCell ref="B57:B59"/>
    <mergeCell ref="C57:H59"/>
    <mergeCell ref="K57:Q59"/>
    <mergeCell ref="C60:D60"/>
    <mergeCell ref="E60:Q60"/>
    <mergeCell ref="F61:I61"/>
    <mergeCell ref="C62:D62"/>
    <mergeCell ref="B64:D64"/>
    <mergeCell ref="I57:J59"/>
    <mergeCell ref="B53:C53"/>
    <mergeCell ref="K53:Q53"/>
    <mergeCell ref="F54:F55"/>
    <mergeCell ref="K54:Q55"/>
    <mergeCell ref="G54:H55"/>
    <mergeCell ref="B54:D55"/>
    <mergeCell ref="E54:E55"/>
    <mergeCell ref="I52:J52"/>
    <mergeCell ref="I53:J53"/>
    <mergeCell ref="I54:J55"/>
    <mergeCell ref="B50:C50"/>
    <mergeCell ref="K50:Q50"/>
    <mergeCell ref="B51:C51"/>
    <mergeCell ref="K51:Q51"/>
    <mergeCell ref="I49:J49"/>
    <mergeCell ref="I50:J50"/>
    <mergeCell ref="I51:J51"/>
    <mergeCell ref="B52:C52"/>
    <mergeCell ref="K52:Q52"/>
    <mergeCell ref="B47:C47"/>
    <mergeCell ref="K47:Q47"/>
    <mergeCell ref="B48:C48"/>
    <mergeCell ref="K48:Q48"/>
    <mergeCell ref="I46:J46"/>
    <mergeCell ref="I47:J47"/>
    <mergeCell ref="I48:J48"/>
    <mergeCell ref="B49:C49"/>
    <mergeCell ref="K49:Q49"/>
    <mergeCell ref="B44:C44"/>
    <mergeCell ref="K44:Q44"/>
    <mergeCell ref="B45:C45"/>
    <mergeCell ref="K45:Q45"/>
    <mergeCell ref="I43:J43"/>
    <mergeCell ref="I44:J44"/>
    <mergeCell ref="I45:J45"/>
    <mergeCell ref="B46:C46"/>
    <mergeCell ref="K46:Q46"/>
    <mergeCell ref="B41:C41"/>
    <mergeCell ref="K41:Q41"/>
    <mergeCell ref="B42:C42"/>
    <mergeCell ref="K42:Q42"/>
    <mergeCell ref="I40:J40"/>
    <mergeCell ref="I41:J41"/>
    <mergeCell ref="I42:J42"/>
    <mergeCell ref="B43:C43"/>
    <mergeCell ref="K43:Q43"/>
    <mergeCell ref="B38:C38"/>
    <mergeCell ref="K38:Q38"/>
    <mergeCell ref="B39:C39"/>
    <mergeCell ref="K39:Q39"/>
    <mergeCell ref="I37:J37"/>
    <mergeCell ref="I38:J38"/>
    <mergeCell ref="I39:J39"/>
    <mergeCell ref="B40:C40"/>
    <mergeCell ref="K40:Q40"/>
    <mergeCell ref="B35:C35"/>
    <mergeCell ref="K35:Q35"/>
    <mergeCell ref="B36:C36"/>
    <mergeCell ref="K36:Q36"/>
    <mergeCell ref="I34:J34"/>
    <mergeCell ref="I35:J35"/>
    <mergeCell ref="I36:J36"/>
    <mergeCell ref="B37:C37"/>
    <mergeCell ref="K37:Q37"/>
    <mergeCell ref="B32:C32"/>
    <mergeCell ref="K32:Q32"/>
    <mergeCell ref="B33:C33"/>
    <mergeCell ref="K33:Q33"/>
    <mergeCell ref="I31:J31"/>
    <mergeCell ref="I32:J32"/>
    <mergeCell ref="I33:J33"/>
    <mergeCell ref="B34:C34"/>
    <mergeCell ref="K34:Q34"/>
    <mergeCell ref="B29:C29"/>
    <mergeCell ref="K29:Q29"/>
    <mergeCell ref="B30:C30"/>
    <mergeCell ref="K30:Q30"/>
    <mergeCell ref="I28:J28"/>
    <mergeCell ref="I29:J29"/>
    <mergeCell ref="I30:J30"/>
    <mergeCell ref="B31:C31"/>
    <mergeCell ref="K31:Q31"/>
    <mergeCell ref="K24:Q24"/>
    <mergeCell ref="K25:Q25"/>
    <mergeCell ref="B27:C27"/>
    <mergeCell ref="K27:Q27"/>
    <mergeCell ref="E24:G24"/>
    <mergeCell ref="E25:G25"/>
    <mergeCell ref="I27:J27"/>
    <mergeCell ref="B28:C28"/>
    <mergeCell ref="K28:Q28"/>
    <mergeCell ref="K23:Q23"/>
    <mergeCell ref="B14:Q14"/>
    <mergeCell ref="B16:C16"/>
    <mergeCell ref="D16:G16"/>
    <mergeCell ref="B17:C17"/>
    <mergeCell ref="D17:G17"/>
    <mergeCell ref="D19:G19"/>
    <mergeCell ref="E21:G21"/>
    <mergeCell ref="E22:G22"/>
    <mergeCell ref="E23:G23"/>
    <mergeCell ref="D20:G20"/>
    <mergeCell ref="B21:C21"/>
    <mergeCell ref="J15:K1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F6367D9-EDA0-4162-82F1-B4933E65AF42}">
          <x14:formula1>
            <xm:f>MasterData!$C$65:$C$113</xm:f>
          </x14:formula1>
          <xm:sqref>B28:C53</xm:sqref>
        </x14:dataValidation>
        <x14:dataValidation type="list" allowBlank="1" showInputMessage="1" showErrorMessage="1" xr:uid="{67F2991E-AF82-4964-8661-C58929D4A819}">
          <x14:formula1>
            <xm:f>MasterData!$F$65:$F$71</xm:f>
          </x14:formula1>
          <xm:sqref>G28:G53</xm:sqref>
        </x14:dataValidation>
        <x14:dataValidation type="list" allowBlank="1" showInputMessage="1" showErrorMessage="1" xr:uid="{8DE60BE1-0843-4E8B-B070-229392D55C6A}">
          <x14:formula1>
            <xm:f>MasterData!$M$65:$M$72</xm:f>
          </x14:formula1>
          <xm:sqref>C60:D60</xm:sqref>
        </x14:dataValidation>
        <x14:dataValidation type="list" allowBlank="1" showInputMessage="1" showErrorMessage="1" xr:uid="{ABFC783C-319F-4D37-AA03-CA26B1A19484}">
          <x14:formula1>
            <xm:f>MasterData!$B$65:$B$83</xm:f>
          </x14:formula1>
          <xm:sqref>D28:D53</xm:sqref>
        </x14:dataValidation>
        <x14:dataValidation type="list" allowBlank="1" showInputMessage="1" showErrorMessage="1" xr:uid="{2735754A-288C-4521-912A-51A833C4F604}">
          <x14:formula1>
            <xm:f>MasterData!$K$65:$K$77</xm:f>
          </x14:formula1>
          <xm:sqref>M16</xm:sqref>
        </x14:dataValidation>
        <x14:dataValidation type="list" allowBlank="1" showInputMessage="1" showErrorMessage="1" xr:uid="{4AF1A610-FF8D-4837-8CF8-DD58504067CE}">
          <x14:formula1>
            <xm:f>MasterData!$J$65:$J$96</xm:f>
          </x14:formula1>
          <xm:sqref>K16</xm:sqref>
        </x14:dataValidation>
        <x14:dataValidation type="list" allowBlank="1" showInputMessage="1" showErrorMessage="1" xr:uid="{4D7F04D9-0334-4DD1-88FD-0F077C381C67}">
          <x14:formula1>
            <xm:f>MasterData!$L$65:$L$102</xm:f>
          </x14:formula1>
          <xm:sqref>O16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AD65-8F9F-4B73-9331-A931BD21DA7E}">
  <sheetPr codeName="Sheet1"/>
  <dimension ref="A1:N113"/>
  <sheetViews>
    <sheetView tabSelected="1" topLeftCell="A25" zoomScale="85" zoomScaleNormal="85" workbookViewId="0">
      <selection activeCell="E47" sqref="E47"/>
    </sheetView>
  </sheetViews>
  <sheetFormatPr defaultRowHeight="15.6" x14ac:dyDescent="0.3"/>
  <cols>
    <col min="1" max="1" width="18.6640625" style="1" customWidth="1"/>
    <col min="2" max="2" width="26.21875" style="1" customWidth="1"/>
    <col min="3" max="3" width="61.6640625" style="1" customWidth="1"/>
    <col min="4" max="4" width="15.5546875" style="5" customWidth="1"/>
    <col min="5" max="5" width="15.5546875" style="6" customWidth="1"/>
    <col min="6" max="6" width="10.33203125" style="6" customWidth="1"/>
    <col min="7" max="8" width="10.33203125" style="11" customWidth="1"/>
    <col min="9" max="9" width="10.33203125" style="1" customWidth="1"/>
    <col min="10" max="11" width="10.33203125" style="11" customWidth="1"/>
    <col min="12" max="12" width="10.33203125" style="1" customWidth="1"/>
    <col min="13" max="13" width="25.88671875" style="1" customWidth="1"/>
    <col min="14" max="14" width="26.5546875" style="1" customWidth="1"/>
    <col min="15" max="16384" width="8.88671875" style="1"/>
  </cols>
  <sheetData>
    <row r="1" spans="1:12" ht="39.6" customHeight="1" x14ac:dyDescent="0.3">
      <c r="A1" s="279" t="s">
        <v>73</v>
      </c>
      <c r="B1" s="279"/>
      <c r="C1" s="279"/>
      <c r="D1" s="279"/>
      <c r="E1" s="279"/>
      <c r="F1" s="279"/>
    </row>
    <row r="2" spans="1:12" ht="25.05" customHeight="1" x14ac:dyDescent="0.3">
      <c r="A2" s="2" t="s">
        <v>0</v>
      </c>
      <c r="B2" s="2" t="s">
        <v>15</v>
      </c>
      <c r="C2" s="2" t="s">
        <v>1</v>
      </c>
      <c r="D2" s="2" t="s">
        <v>135</v>
      </c>
      <c r="E2" s="3" t="s">
        <v>2</v>
      </c>
      <c r="F2" s="4" t="s">
        <v>3</v>
      </c>
      <c r="G2" s="6"/>
      <c r="I2" s="11"/>
      <c r="J2" s="1"/>
      <c r="L2" s="11"/>
    </row>
    <row r="3" spans="1:12" ht="15.6" customHeight="1" x14ac:dyDescent="0.3">
      <c r="A3" s="28"/>
      <c r="B3" s="28"/>
      <c r="C3" s="28"/>
      <c r="D3" s="100"/>
      <c r="E3" s="29"/>
      <c r="F3" s="30"/>
      <c r="G3" s="6"/>
      <c r="I3" s="11"/>
      <c r="J3" s="1"/>
      <c r="L3" s="11"/>
    </row>
    <row r="4" spans="1:12" ht="15.6" customHeight="1" x14ac:dyDescent="0.3">
      <c r="A4" s="117" t="s">
        <v>4</v>
      </c>
      <c r="B4" s="117" t="s">
        <v>16</v>
      </c>
      <c r="C4" s="117" t="s">
        <v>5</v>
      </c>
      <c r="D4" s="118">
        <v>999312</v>
      </c>
      <c r="E4" s="119">
        <v>1200</v>
      </c>
      <c r="F4" s="120">
        <v>0</v>
      </c>
      <c r="G4" s="6"/>
      <c r="I4" s="11"/>
      <c r="J4" s="1"/>
      <c r="L4" s="11"/>
    </row>
    <row r="5" spans="1:12" ht="15.6" customHeight="1" x14ac:dyDescent="0.3">
      <c r="C5" s="121" t="s">
        <v>143</v>
      </c>
      <c r="D5" s="122">
        <v>999312</v>
      </c>
      <c r="E5" s="123">
        <v>1500</v>
      </c>
      <c r="F5" s="124">
        <v>0</v>
      </c>
      <c r="G5" s="6"/>
      <c r="I5" s="11"/>
      <c r="J5" s="1"/>
      <c r="L5" s="11"/>
    </row>
    <row r="6" spans="1:12" ht="15.6" customHeight="1" x14ac:dyDescent="0.3">
      <c r="A6" s="22"/>
      <c r="B6" s="22"/>
      <c r="C6" s="1" t="s">
        <v>144</v>
      </c>
      <c r="D6" s="101">
        <v>999312</v>
      </c>
      <c r="E6" s="5">
        <v>2000</v>
      </c>
      <c r="F6" s="31">
        <v>0</v>
      </c>
      <c r="G6" s="6"/>
      <c r="I6" s="11"/>
      <c r="J6" s="1"/>
      <c r="L6" s="11"/>
    </row>
    <row r="7" spans="1:12" ht="15.6" customHeight="1" x14ac:dyDescent="0.3">
      <c r="A7" s="32"/>
      <c r="B7" s="32"/>
      <c r="C7" s="32"/>
      <c r="D7" s="102"/>
      <c r="E7" s="33"/>
      <c r="F7" s="34"/>
      <c r="G7" s="6"/>
      <c r="I7" s="11"/>
      <c r="J7" s="1"/>
      <c r="L7" s="11"/>
    </row>
    <row r="8" spans="1:12" ht="15.6" customHeight="1" x14ac:dyDescent="0.3">
      <c r="A8" s="19" t="s">
        <v>6</v>
      </c>
      <c r="B8" s="19" t="s">
        <v>17</v>
      </c>
      <c r="C8" s="19" t="s">
        <v>18</v>
      </c>
      <c r="D8" s="103">
        <v>999314</v>
      </c>
      <c r="E8" s="20">
        <v>2700</v>
      </c>
      <c r="F8" s="21">
        <v>0</v>
      </c>
      <c r="G8" s="6"/>
      <c r="I8" s="11"/>
      <c r="J8" s="1"/>
      <c r="L8" s="11"/>
    </row>
    <row r="9" spans="1:12" ht="15.6" customHeight="1" x14ac:dyDescent="0.3">
      <c r="A9" s="22"/>
      <c r="B9" s="22"/>
      <c r="C9" s="22" t="s">
        <v>19</v>
      </c>
      <c r="D9" s="103">
        <v>999314</v>
      </c>
      <c r="E9" s="23">
        <v>2200</v>
      </c>
      <c r="F9" s="24">
        <v>0</v>
      </c>
      <c r="G9" s="6"/>
      <c r="I9" s="11"/>
      <c r="J9" s="1"/>
      <c r="L9" s="11"/>
    </row>
    <row r="10" spans="1:12" ht="15.6" customHeight="1" x14ac:dyDescent="0.3">
      <c r="A10" s="22"/>
      <c r="B10" s="22"/>
      <c r="C10" s="22" t="s">
        <v>43</v>
      </c>
      <c r="D10" s="103">
        <v>999314</v>
      </c>
      <c r="E10" s="23">
        <v>1800</v>
      </c>
      <c r="F10" s="24">
        <v>0</v>
      </c>
      <c r="G10" s="6"/>
      <c r="I10" s="11"/>
      <c r="J10" s="1"/>
      <c r="L10" s="11"/>
    </row>
    <row r="11" spans="1:12" ht="15.6" customHeight="1" x14ac:dyDescent="0.3">
      <c r="A11" s="22"/>
      <c r="B11" s="22"/>
      <c r="C11" s="22" t="s">
        <v>44</v>
      </c>
      <c r="D11" s="103">
        <v>999314</v>
      </c>
      <c r="E11" s="23">
        <v>1500</v>
      </c>
      <c r="F11" s="24">
        <v>0</v>
      </c>
      <c r="G11" s="6"/>
      <c r="I11" s="11"/>
      <c r="J11" s="1"/>
      <c r="L11" s="11"/>
    </row>
    <row r="12" spans="1:12" ht="15.6" customHeight="1" x14ac:dyDescent="0.3">
      <c r="A12" s="22"/>
      <c r="B12" s="22"/>
      <c r="C12" s="22" t="s">
        <v>45</v>
      </c>
      <c r="D12" s="103">
        <v>999314</v>
      </c>
      <c r="E12" s="23">
        <v>4500</v>
      </c>
      <c r="F12" s="24">
        <v>0</v>
      </c>
      <c r="G12" s="6"/>
      <c r="I12" s="11"/>
      <c r="J12" s="1"/>
      <c r="L12" s="11"/>
    </row>
    <row r="13" spans="1:12" ht="15.6" customHeight="1" x14ac:dyDescent="0.3">
      <c r="A13" s="25"/>
      <c r="B13" s="25"/>
      <c r="C13" s="25" t="s">
        <v>46</v>
      </c>
      <c r="D13" s="103">
        <v>999314</v>
      </c>
      <c r="E13" s="26">
        <v>1500</v>
      </c>
      <c r="F13" s="27">
        <v>0</v>
      </c>
      <c r="G13" s="6"/>
      <c r="I13" s="11"/>
      <c r="J13" s="1"/>
      <c r="L13" s="11"/>
    </row>
    <row r="14" spans="1:12" ht="15.6" customHeight="1" x14ac:dyDescent="0.3">
      <c r="A14" s="22"/>
      <c r="B14" s="22"/>
      <c r="C14" s="22" t="s">
        <v>131</v>
      </c>
      <c r="D14" s="103">
        <v>999314</v>
      </c>
      <c r="E14" s="23">
        <v>2200</v>
      </c>
      <c r="F14" s="24">
        <v>0</v>
      </c>
      <c r="G14" s="6"/>
      <c r="I14" s="11"/>
      <c r="J14" s="1"/>
      <c r="L14" s="11"/>
    </row>
    <row r="15" spans="1:12" ht="15.6" customHeight="1" x14ac:dyDescent="0.3">
      <c r="C15" s="1" t="s">
        <v>132</v>
      </c>
      <c r="D15" s="103">
        <v>999314</v>
      </c>
      <c r="E15" s="5">
        <v>1800</v>
      </c>
      <c r="F15" s="31">
        <v>0</v>
      </c>
      <c r="G15" s="6"/>
      <c r="I15" s="11"/>
      <c r="J15" s="1"/>
      <c r="L15" s="11"/>
    </row>
    <row r="16" spans="1:12" ht="15.6" customHeight="1" x14ac:dyDescent="0.3">
      <c r="A16" s="32"/>
      <c r="B16" s="32"/>
      <c r="C16" s="32"/>
      <c r="D16" s="102"/>
      <c r="E16" s="33"/>
      <c r="F16" s="34"/>
      <c r="G16" s="6"/>
      <c r="I16" s="11"/>
      <c r="J16" s="1"/>
      <c r="L16" s="11"/>
    </row>
    <row r="17" spans="1:12" ht="15.6" customHeight="1" x14ac:dyDescent="0.3">
      <c r="A17" s="19"/>
      <c r="B17" s="22" t="s">
        <v>24</v>
      </c>
      <c r="C17" s="19" t="s">
        <v>47</v>
      </c>
      <c r="D17" s="103">
        <v>999314</v>
      </c>
      <c r="E17" s="20">
        <v>2000</v>
      </c>
      <c r="F17" s="21">
        <v>0</v>
      </c>
      <c r="G17" s="6"/>
      <c r="I17" s="11"/>
      <c r="J17" s="1"/>
      <c r="L17" s="11"/>
    </row>
    <row r="18" spans="1:12" ht="15.6" customHeight="1" x14ac:dyDescent="0.3">
      <c r="A18" s="22"/>
      <c r="B18" s="22" t="s">
        <v>25</v>
      </c>
      <c r="C18" s="22" t="s">
        <v>48</v>
      </c>
      <c r="D18" s="103">
        <v>999314</v>
      </c>
      <c r="E18" s="23">
        <v>1800</v>
      </c>
      <c r="F18" s="24">
        <v>0</v>
      </c>
      <c r="G18" s="6"/>
      <c r="I18" s="11"/>
      <c r="J18" s="1"/>
      <c r="L18" s="11"/>
    </row>
    <row r="19" spans="1:12" ht="15.6" customHeight="1" x14ac:dyDescent="0.3">
      <c r="A19" s="22"/>
      <c r="B19" s="22" t="s">
        <v>26</v>
      </c>
      <c r="C19" s="22" t="s">
        <v>49</v>
      </c>
      <c r="D19" s="103">
        <v>999314</v>
      </c>
      <c r="E19" s="23">
        <v>1500</v>
      </c>
      <c r="F19" s="24">
        <v>0</v>
      </c>
      <c r="G19" s="6"/>
      <c r="I19" s="11"/>
      <c r="J19" s="1"/>
      <c r="L19" s="11"/>
    </row>
    <row r="20" spans="1:12" ht="15.6" customHeight="1" x14ac:dyDescent="0.3">
      <c r="A20" s="22"/>
      <c r="B20" s="22" t="s">
        <v>27</v>
      </c>
      <c r="C20" s="22" t="s">
        <v>50</v>
      </c>
      <c r="D20" s="103">
        <v>999314</v>
      </c>
      <c r="E20" s="23">
        <v>1000</v>
      </c>
      <c r="F20" s="24">
        <v>0</v>
      </c>
      <c r="G20" s="6"/>
      <c r="I20" s="11"/>
      <c r="J20" s="1"/>
      <c r="L20" s="11"/>
    </row>
    <row r="21" spans="1:12" ht="15.6" customHeight="1" x14ac:dyDescent="0.3">
      <c r="A21" s="22"/>
      <c r="B21" s="25" t="s">
        <v>28</v>
      </c>
      <c r="C21" s="22" t="s">
        <v>51</v>
      </c>
      <c r="D21" s="103">
        <v>999314</v>
      </c>
      <c r="E21" s="23">
        <v>3500</v>
      </c>
      <c r="F21" s="24">
        <v>0</v>
      </c>
      <c r="G21" s="6"/>
      <c r="I21" s="11"/>
      <c r="J21" s="1"/>
      <c r="L21" s="11"/>
    </row>
    <row r="22" spans="1:12" ht="15.6" customHeight="1" x14ac:dyDescent="0.3">
      <c r="A22" s="22"/>
      <c r="B22" s="22"/>
      <c r="C22" s="22" t="s">
        <v>52</v>
      </c>
      <c r="D22" s="103">
        <v>999314</v>
      </c>
      <c r="E22" s="23">
        <v>1200</v>
      </c>
      <c r="F22" s="24">
        <v>0</v>
      </c>
      <c r="G22" s="6"/>
      <c r="I22" s="11"/>
      <c r="J22" s="1"/>
      <c r="L22" s="11"/>
    </row>
    <row r="23" spans="1:12" ht="15.6" customHeight="1" x14ac:dyDescent="0.3">
      <c r="A23" s="22"/>
      <c r="B23" s="22"/>
      <c r="C23" s="22" t="s">
        <v>133</v>
      </c>
      <c r="D23" s="103">
        <v>999314</v>
      </c>
      <c r="E23" s="23">
        <v>1800</v>
      </c>
      <c r="F23" s="24">
        <v>0</v>
      </c>
      <c r="G23" s="6"/>
      <c r="I23" s="11"/>
      <c r="J23" s="1"/>
      <c r="L23" s="11"/>
    </row>
    <row r="24" spans="1:12" ht="15.6" customHeight="1" x14ac:dyDescent="0.3">
      <c r="A24" s="22"/>
      <c r="B24" s="22"/>
      <c r="C24" s="22" t="s">
        <v>134</v>
      </c>
      <c r="D24" s="103">
        <v>999314</v>
      </c>
      <c r="E24" s="23">
        <v>1500</v>
      </c>
      <c r="F24" s="24">
        <v>0</v>
      </c>
      <c r="G24" s="6"/>
      <c r="I24" s="11"/>
      <c r="J24" s="1"/>
      <c r="L24" s="11"/>
    </row>
    <row r="25" spans="1:12" ht="15.6" customHeight="1" x14ac:dyDescent="0.3">
      <c r="A25" s="22"/>
      <c r="B25" s="22"/>
      <c r="C25" s="22" t="s">
        <v>23</v>
      </c>
      <c r="D25" s="103">
        <v>999314</v>
      </c>
      <c r="E25" s="23">
        <v>600</v>
      </c>
      <c r="F25" s="24">
        <v>0</v>
      </c>
      <c r="G25" s="6"/>
      <c r="I25" s="11"/>
      <c r="J25" s="1"/>
      <c r="L25" s="11"/>
    </row>
    <row r="26" spans="1:12" ht="15.6" customHeight="1" x14ac:dyDescent="0.3">
      <c r="A26" s="22"/>
      <c r="B26" s="22"/>
      <c r="C26" s="22" t="s">
        <v>20</v>
      </c>
      <c r="D26" s="103">
        <v>999314</v>
      </c>
      <c r="E26" s="23">
        <v>1500</v>
      </c>
      <c r="F26" s="24">
        <v>0</v>
      </c>
      <c r="G26" s="6"/>
      <c r="I26" s="11"/>
      <c r="J26" s="1"/>
      <c r="L26" s="11"/>
    </row>
    <row r="27" spans="1:12" ht="15.6" customHeight="1" x14ac:dyDescent="0.3">
      <c r="A27" s="22"/>
      <c r="B27" s="22"/>
      <c r="C27" s="22" t="s">
        <v>21</v>
      </c>
      <c r="D27" s="103">
        <v>999314</v>
      </c>
      <c r="E27" s="23">
        <v>1000</v>
      </c>
      <c r="F27" s="24">
        <v>0</v>
      </c>
      <c r="G27" s="6"/>
      <c r="I27" s="11"/>
      <c r="J27" s="1"/>
      <c r="L27" s="11"/>
    </row>
    <row r="28" spans="1:12" ht="15.6" customHeight="1" x14ac:dyDescent="0.3">
      <c r="A28" s="25"/>
      <c r="B28" s="25"/>
      <c r="C28" s="25" t="s">
        <v>22</v>
      </c>
      <c r="D28" s="103">
        <v>999314</v>
      </c>
      <c r="E28" s="26">
        <v>1500</v>
      </c>
      <c r="F28" s="27">
        <v>0</v>
      </c>
      <c r="G28" s="6"/>
      <c r="I28" s="11"/>
      <c r="J28" s="1"/>
      <c r="L28" s="11"/>
    </row>
    <row r="29" spans="1:12" ht="15.6" customHeight="1" x14ac:dyDescent="0.3">
      <c r="A29" s="32"/>
      <c r="B29" s="32"/>
      <c r="C29" s="32"/>
      <c r="D29" s="102"/>
      <c r="E29" s="33"/>
      <c r="F29" s="34"/>
      <c r="G29" s="6"/>
      <c r="I29" s="11"/>
      <c r="J29" s="1"/>
      <c r="L29" s="11"/>
    </row>
    <row r="30" spans="1:12" ht="15.6" customHeight="1" x14ac:dyDescent="0.3">
      <c r="A30" s="19" t="s">
        <v>7</v>
      </c>
      <c r="B30" s="19" t="s">
        <v>29</v>
      </c>
      <c r="C30" s="19" t="s">
        <v>32</v>
      </c>
      <c r="D30" s="103">
        <v>94021090</v>
      </c>
      <c r="E30" s="20">
        <v>1450</v>
      </c>
      <c r="F30" s="21">
        <v>0.18</v>
      </c>
      <c r="G30" s="6"/>
      <c r="I30" s="11"/>
      <c r="J30" s="1"/>
      <c r="L30" s="11"/>
    </row>
    <row r="31" spans="1:12" ht="15.6" customHeight="1" x14ac:dyDescent="0.3">
      <c r="A31" s="22"/>
      <c r="B31" s="22" t="s">
        <v>30</v>
      </c>
      <c r="C31" s="22" t="s">
        <v>33</v>
      </c>
      <c r="D31" s="103">
        <v>94021090</v>
      </c>
      <c r="E31" s="23">
        <v>2200</v>
      </c>
      <c r="F31" s="24">
        <v>0.18</v>
      </c>
      <c r="G31" s="6"/>
      <c r="I31" s="11"/>
      <c r="J31" s="1"/>
      <c r="L31" s="11"/>
    </row>
    <row r="32" spans="1:12" ht="15.6" customHeight="1" x14ac:dyDescent="0.3">
      <c r="A32" s="22"/>
      <c r="B32" s="22" t="s">
        <v>31</v>
      </c>
      <c r="C32" s="22" t="s">
        <v>34</v>
      </c>
      <c r="D32" s="103">
        <v>94021090</v>
      </c>
      <c r="E32" s="23">
        <v>3300</v>
      </c>
      <c r="F32" s="24">
        <v>0.18</v>
      </c>
      <c r="G32" s="6"/>
      <c r="I32" s="11"/>
      <c r="J32" s="1"/>
      <c r="L32" s="11"/>
    </row>
    <row r="33" spans="1:12" ht="15.6" customHeight="1" x14ac:dyDescent="0.3">
      <c r="A33" s="22"/>
      <c r="B33" s="22"/>
      <c r="C33" s="22" t="s">
        <v>35</v>
      </c>
      <c r="D33" s="103">
        <v>94021090</v>
      </c>
      <c r="E33" s="23">
        <v>2420</v>
      </c>
      <c r="F33" s="24">
        <v>0.18</v>
      </c>
      <c r="G33" s="6"/>
      <c r="I33" s="11"/>
      <c r="J33" s="1"/>
      <c r="L33" s="11"/>
    </row>
    <row r="34" spans="1:12" ht="15.6" customHeight="1" x14ac:dyDescent="0.3">
      <c r="A34" s="22"/>
      <c r="B34" s="22"/>
      <c r="C34" s="22" t="s">
        <v>36</v>
      </c>
      <c r="D34" s="103">
        <v>94021090</v>
      </c>
      <c r="E34" s="23">
        <v>3300</v>
      </c>
      <c r="F34" s="24">
        <v>0.18</v>
      </c>
      <c r="G34" s="6"/>
      <c r="I34" s="11"/>
      <c r="J34" s="1"/>
      <c r="L34" s="11"/>
    </row>
    <row r="35" spans="1:12" ht="15.6" customHeight="1" x14ac:dyDescent="0.3">
      <c r="A35" s="25"/>
      <c r="B35" s="25"/>
      <c r="C35" s="25" t="s">
        <v>37</v>
      </c>
      <c r="D35" s="103">
        <v>94021090</v>
      </c>
      <c r="E35" s="26">
        <v>4400</v>
      </c>
      <c r="F35" s="27">
        <v>0.18</v>
      </c>
      <c r="G35" s="6"/>
      <c r="I35" s="11"/>
      <c r="J35" s="1"/>
      <c r="L35" s="11"/>
    </row>
    <row r="36" spans="1:12" ht="15.6" customHeight="1" x14ac:dyDescent="0.3">
      <c r="A36" s="32"/>
      <c r="B36" s="32"/>
      <c r="C36" s="32"/>
      <c r="D36" s="102"/>
      <c r="E36" s="33"/>
      <c r="F36" s="34"/>
      <c r="G36" s="6"/>
      <c r="I36" s="11"/>
      <c r="J36" s="1"/>
      <c r="L36" s="11"/>
    </row>
    <row r="37" spans="1:12" ht="15.6" customHeight="1" x14ac:dyDescent="0.3">
      <c r="A37" s="1" t="s">
        <v>8</v>
      </c>
      <c r="B37" s="1" t="s">
        <v>38</v>
      </c>
      <c r="C37" s="1" t="s">
        <v>9</v>
      </c>
      <c r="D37" s="101">
        <v>999723</v>
      </c>
      <c r="E37" s="5">
        <v>3200</v>
      </c>
      <c r="F37" s="31">
        <v>0.05</v>
      </c>
      <c r="G37" s="6"/>
      <c r="I37" s="11"/>
      <c r="J37" s="1"/>
      <c r="L37" s="11"/>
    </row>
    <row r="38" spans="1:12" ht="15.6" customHeight="1" x14ac:dyDescent="0.3">
      <c r="A38" s="32"/>
      <c r="B38" s="32"/>
      <c r="C38" s="32"/>
      <c r="D38" s="102"/>
      <c r="E38" s="33"/>
      <c r="F38" s="34"/>
      <c r="G38" s="6"/>
      <c r="I38" s="11"/>
      <c r="J38" s="1"/>
      <c r="L38" s="11"/>
    </row>
    <row r="39" spans="1:12" ht="15.6" customHeight="1" x14ac:dyDescent="0.3">
      <c r="A39" s="19"/>
      <c r="B39" s="19" t="s">
        <v>39</v>
      </c>
      <c r="C39" s="19" t="s">
        <v>40</v>
      </c>
      <c r="D39" s="118">
        <v>999723</v>
      </c>
      <c r="E39" s="20">
        <v>1900</v>
      </c>
      <c r="F39" s="21">
        <v>0.05</v>
      </c>
      <c r="G39" s="6"/>
      <c r="I39" s="11"/>
      <c r="J39" s="1"/>
      <c r="L39" s="11"/>
    </row>
    <row r="40" spans="1:12" ht="15.6" customHeight="1" x14ac:dyDescent="0.3">
      <c r="A40" s="22"/>
      <c r="B40" s="22"/>
      <c r="C40" s="22" t="s">
        <v>41</v>
      </c>
      <c r="D40" s="122">
        <v>999723</v>
      </c>
      <c r="E40" s="23">
        <v>2200</v>
      </c>
      <c r="F40" s="24">
        <v>0.05</v>
      </c>
      <c r="G40" s="6"/>
      <c r="I40" s="11"/>
      <c r="J40" s="1"/>
      <c r="L40" s="11"/>
    </row>
    <row r="41" spans="1:12" ht="15.6" customHeight="1" x14ac:dyDescent="0.3">
      <c r="A41" s="22"/>
      <c r="B41" s="22"/>
      <c r="C41" s="22" t="s">
        <v>42</v>
      </c>
      <c r="D41" s="122">
        <v>999723</v>
      </c>
      <c r="E41" s="23">
        <v>2500</v>
      </c>
      <c r="F41" s="24">
        <v>0.05</v>
      </c>
      <c r="G41" s="6"/>
      <c r="I41" s="11"/>
      <c r="J41" s="1"/>
      <c r="L41" s="11"/>
    </row>
    <row r="42" spans="1:12" ht="15.6" customHeight="1" x14ac:dyDescent="0.3">
      <c r="A42" s="22"/>
      <c r="B42" s="22"/>
      <c r="C42" s="22" t="s">
        <v>54</v>
      </c>
      <c r="D42" s="122">
        <v>999723</v>
      </c>
      <c r="E42" s="23">
        <v>1750</v>
      </c>
      <c r="F42" s="24">
        <v>0.05</v>
      </c>
      <c r="G42" s="6"/>
      <c r="I42" s="11"/>
      <c r="J42" s="1"/>
      <c r="L42" s="11"/>
    </row>
    <row r="43" spans="1:12" ht="15.6" customHeight="1" x14ac:dyDescent="0.3">
      <c r="A43" s="25"/>
      <c r="B43" s="25"/>
      <c r="C43" s="25" t="s">
        <v>53</v>
      </c>
      <c r="D43" s="125">
        <v>999723</v>
      </c>
      <c r="E43" s="26">
        <v>1500</v>
      </c>
      <c r="F43" s="27">
        <v>0.05</v>
      </c>
      <c r="G43" s="6"/>
      <c r="I43" s="11"/>
      <c r="J43" s="1"/>
      <c r="L43" s="11"/>
    </row>
    <row r="44" spans="1:12" ht="15.6" customHeight="1" x14ac:dyDescent="0.3">
      <c r="A44" s="32"/>
      <c r="B44" s="32"/>
      <c r="C44" s="32"/>
      <c r="D44" s="102"/>
      <c r="E44" s="33"/>
      <c r="F44" s="34"/>
      <c r="G44" s="6"/>
      <c r="I44" s="11"/>
      <c r="J44" s="1"/>
      <c r="L44" s="11"/>
    </row>
    <row r="45" spans="1:12" ht="15.6" customHeight="1" x14ac:dyDescent="0.3">
      <c r="A45" s="19" t="s">
        <v>10</v>
      </c>
      <c r="B45" s="19" t="s">
        <v>55</v>
      </c>
      <c r="C45" s="19" t="s">
        <v>56</v>
      </c>
      <c r="D45" s="103">
        <v>999319</v>
      </c>
      <c r="E45" s="20">
        <v>2600</v>
      </c>
      <c r="F45" s="21">
        <v>0.18</v>
      </c>
      <c r="G45" s="6"/>
      <c r="I45" s="11"/>
      <c r="J45" s="1"/>
      <c r="L45" s="11"/>
    </row>
    <row r="46" spans="1:12" ht="15.6" customHeight="1" x14ac:dyDescent="0.3">
      <c r="A46" s="25"/>
      <c r="B46" s="25"/>
      <c r="C46" s="25" t="s">
        <v>57</v>
      </c>
      <c r="D46" s="104">
        <v>999319</v>
      </c>
      <c r="E46" s="26">
        <v>3500</v>
      </c>
      <c r="F46" s="27">
        <v>0.18</v>
      </c>
      <c r="G46" s="6"/>
      <c r="I46" s="11"/>
      <c r="J46" s="1"/>
      <c r="L46" s="11"/>
    </row>
    <row r="47" spans="1:12" ht="15.6" customHeight="1" x14ac:dyDescent="0.3">
      <c r="A47" s="32"/>
      <c r="B47" s="32"/>
      <c r="C47" s="32"/>
      <c r="D47" s="102"/>
      <c r="E47" s="33"/>
      <c r="F47" s="34"/>
      <c r="G47" s="6"/>
      <c r="I47" s="11"/>
      <c r="J47" s="1"/>
      <c r="L47" s="11"/>
    </row>
    <row r="48" spans="1:12" ht="15.6" customHeight="1" x14ac:dyDescent="0.3">
      <c r="B48" s="1" t="s">
        <v>58</v>
      </c>
      <c r="C48" s="1" t="s">
        <v>59</v>
      </c>
      <c r="D48" s="101">
        <v>999319</v>
      </c>
      <c r="E48" s="5">
        <v>3000</v>
      </c>
      <c r="F48" s="31">
        <v>0.18</v>
      </c>
      <c r="G48" s="6"/>
      <c r="I48" s="11"/>
      <c r="J48" s="1"/>
      <c r="L48" s="11"/>
    </row>
    <row r="49" spans="1:14" ht="15.6" customHeight="1" x14ac:dyDescent="0.3">
      <c r="A49" s="32"/>
      <c r="B49" s="32"/>
      <c r="C49" s="32"/>
      <c r="D49" s="102"/>
      <c r="E49" s="33"/>
      <c r="F49" s="34"/>
      <c r="G49" s="6"/>
      <c r="I49" s="11"/>
      <c r="J49" s="1"/>
      <c r="L49" s="11"/>
    </row>
    <row r="50" spans="1:14" ht="15.6" customHeight="1" x14ac:dyDescent="0.3">
      <c r="A50" s="19" t="s">
        <v>11</v>
      </c>
      <c r="B50" s="19" t="s">
        <v>60</v>
      </c>
      <c r="C50" s="19" t="s">
        <v>61</v>
      </c>
      <c r="D50" s="103">
        <v>999319</v>
      </c>
      <c r="E50" s="20">
        <v>3500</v>
      </c>
      <c r="F50" s="21">
        <v>0.18</v>
      </c>
      <c r="G50" s="6"/>
      <c r="I50" s="11"/>
      <c r="J50" s="1"/>
      <c r="L50" s="11"/>
    </row>
    <row r="51" spans="1:14" ht="15.6" customHeight="1" x14ac:dyDescent="0.3">
      <c r="A51" s="25"/>
      <c r="B51" s="25"/>
      <c r="C51" s="25" t="s">
        <v>62</v>
      </c>
      <c r="D51" s="104">
        <v>999319</v>
      </c>
      <c r="E51" s="26">
        <v>2800</v>
      </c>
      <c r="F51" s="27">
        <v>0.18</v>
      </c>
      <c r="G51" s="6"/>
      <c r="I51" s="11"/>
      <c r="J51" s="1"/>
      <c r="L51" s="11"/>
    </row>
    <row r="52" spans="1:14" ht="15.6" customHeight="1" x14ac:dyDescent="0.3">
      <c r="A52" s="32"/>
      <c r="B52" s="32"/>
      <c r="C52" s="32"/>
      <c r="D52" s="102"/>
      <c r="E52" s="33"/>
      <c r="F52" s="34"/>
      <c r="G52" s="6"/>
      <c r="I52" s="11"/>
      <c r="J52" s="1"/>
      <c r="L52" s="11"/>
    </row>
    <row r="53" spans="1:14" ht="15.6" customHeight="1" x14ac:dyDescent="0.3">
      <c r="A53" s="19"/>
      <c r="B53" s="19" t="s">
        <v>63</v>
      </c>
      <c r="C53" s="19" t="s">
        <v>12</v>
      </c>
      <c r="D53" s="103">
        <v>999319</v>
      </c>
      <c r="E53" s="20">
        <v>2800</v>
      </c>
      <c r="F53" s="21">
        <v>0.18</v>
      </c>
      <c r="G53" s="6"/>
      <c r="I53" s="11"/>
      <c r="J53" s="1"/>
      <c r="L53" s="11"/>
    </row>
    <row r="54" spans="1:14" ht="15.6" customHeight="1" x14ac:dyDescent="0.3">
      <c r="A54" s="25"/>
      <c r="B54" s="25"/>
      <c r="C54" s="25" t="s">
        <v>64</v>
      </c>
      <c r="D54" s="104">
        <v>999319</v>
      </c>
      <c r="E54" s="26">
        <v>2200</v>
      </c>
      <c r="F54" s="27">
        <v>0.18</v>
      </c>
      <c r="G54" s="6"/>
      <c r="I54" s="11"/>
      <c r="J54" s="1"/>
      <c r="L54" s="11"/>
    </row>
    <row r="55" spans="1:14" ht="15.6" customHeight="1" x14ac:dyDescent="0.3">
      <c r="A55" s="32"/>
      <c r="B55" s="32"/>
      <c r="C55" s="32"/>
      <c r="D55" s="102"/>
      <c r="E55" s="33"/>
      <c r="F55" s="34"/>
      <c r="G55" s="6"/>
      <c r="I55" s="11"/>
      <c r="J55" s="1"/>
      <c r="L55" s="11"/>
    </row>
    <row r="56" spans="1:14" ht="15.6" customHeight="1" x14ac:dyDescent="0.3">
      <c r="A56" s="117" t="s">
        <v>13</v>
      </c>
      <c r="B56" s="117" t="s">
        <v>65</v>
      </c>
      <c r="C56" s="117" t="s">
        <v>14</v>
      </c>
      <c r="D56" s="118">
        <v>95069190</v>
      </c>
      <c r="E56" s="119">
        <v>3000</v>
      </c>
      <c r="F56" s="120">
        <v>0.18</v>
      </c>
      <c r="G56" s="6"/>
      <c r="I56" s="11"/>
      <c r="J56" s="1"/>
      <c r="L56" s="11"/>
    </row>
    <row r="57" spans="1:14" x14ac:dyDescent="0.3">
      <c r="C57" s="1" t="s">
        <v>146</v>
      </c>
      <c r="D57" s="122">
        <v>998733</v>
      </c>
      <c r="E57" s="5">
        <v>322.02999999999997</v>
      </c>
      <c r="F57" s="31">
        <v>0.18</v>
      </c>
    </row>
    <row r="58" spans="1:14" x14ac:dyDescent="0.3">
      <c r="A58" s="121"/>
      <c r="B58" s="121"/>
      <c r="C58" s="121" t="s">
        <v>145</v>
      </c>
      <c r="D58" s="122">
        <v>998733</v>
      </c>
      <c r="E58" s="123">
        <v>4237.29</v>
      </c>
      <c r="F58" s="124">
        <v>0.18</v>
      </c>
    </row>
    <row r="59" spans="1:14" x14ac:dyDescent="0.3">
      <c r="A59" s="121"/>
      <c r="B59" s="121" t="s">
        <v>153</v>
      </c>
      <c r="C59" s="121" t="s">
        <v>154</v>
      </c>
      <c r="D59" s="122">
        <v>998733</v>
      </c>
      <c r="E59" s="123">
        <v>2700</v>
      </c>
      <c r="F59" s="124">
        <v>0.18</v>
      </c>
    </row>
    <row r="60" spans="1:14" x14ac:dyDescent="0.3">
      <c r="C60" s="121" t="s">
        <v>155</v>
      </c>
      <c r="D60" s="122">
        <v>998733</v>
      </c>
      <c r="E60" s="123">
        <v>2250</v>
      </c>
      <c r="F60" s="124">
        <v>0.18</v>
      </c>
    </row>
    <row r="61" spans="1:14" x14ac:dyDescent="0.3">
      <c r="A61" s="25"/>
      <c r="B61" s="25"/>
      <c r="C61" s="1" t="s">
        <v>156</v>
      </c>
      <c r="D61" s="101">
        <v>998733</v>
      </c>
      <c r="E61" s="5">
        <v>1875</v>
      </c>
      <c r="F61" s="31">
        <v>0.18</v>
      </c>
    </row>
    <row r="62" spans="1:14" ht="16.2" thickBot="1" x14ac:dyDescent="0.35">
      <c r="D62" s="101"/>
      <c r="E62" s="5"/>
      <c r="F62" s="31"/>
    </row>
    <row r="63" spans="1:14" ht="46.8" customHeight="1" thickBot="1" x14ac:dyDescent="0.35">
      <c r="A63" s="280" t="s">
        <v>74</v>
      </c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2"/>
    </row>
    <row r="64" spans="1:14" x14ac:dyDescent="0.3">
      <c r="A64" s="126" t="s">
        <v>0</v>
      </c>
      <c r="B64" s="126" t="s">
        <v>15</v>
      </c>
      <c r="C64" s="126" t="s">
        <v>1</v>
      </c>
      <c r="D64" s="127" t="s">
        <v>2</v>
      </c>
      <c r="E64" s="128" t="s">
        <v>3</v>
      </c>
      <c r="F64" s="128" t="s">
        <v>66</v>
      </c>
      <c r="G64" s="136" t="s">
        <v>67</v>
      </c>
      <c r="H64" s="136" t="s">
        <v>72</v>
      </c>
      <c r="I64" s="126" t="s">
        <v>75</v>
      </c>
      <c r="J64" s="136" t="s">
        <v>68</v>
      </c>
      <c r="K64" s="136" t="s">
        <v>69</v>
      </c>
      <c r="L64" s="126" t="s">
        <v>70</v>
      </c>
      <c r="M64" s="126" t="s">
        <v>71</v>
      </c>
      <c r="N64" s="126" t="s">
        <v>147</v>
      </c>
    </row>
    <row r="65" spans="1:14" x14ac:dyDescent="0.3">
      <c r="A65" s="12"/>
      <c r="B65" s="12"/>
      <c r="C65" s="12"/>
      <c r="D65" s="13"/>
      <c r="E65" s="14"/>
      <c r="F65" s="14"/>
      <c r="G65" s="15"/>
      <c r="H65" s="15"/>
      <c r="I65" s="12"/>
      <c r="J65" s="15"/>
      <c r="K65" s="15"/>
      <c r="L65" s="12"/>
      <c r="M65" s="12"/>
      <c r="N65" s="12"/>
    </row>
    <row r="66" spans="1:14" ht="16.8" customHeight="1" x14ac:dyDescent="0.3">
      <c r="A66" s="7" t="s">
        <v>4</v>
      </c>
      <c r="B66" s="7" t="s">
        <v>136</v>
      </c>
      <c r="C66" s="129" t="s">
        <v>5</v>
      </c>
      <c r="D66" s="130">
        <v>1200</v>
      </c>
      <c r="E66" s="131">
        <v>0</v>
      </c>
      <c r="F66" s="16">
        <v>0.05</v>
      </c>
      <c r="G66" s="17">
        <v>0</v>
      </c>
      <c r="H66" s="17">
        <v>0</v>
      </c>
      <c r="I66" s="7" t="s">
        <v>76</v>
      </c>
      <c r="J66" s="17">
        <v>1</v>
      </c>
      <c r="K66" s="17">
        <v>1</v>
      </c>
      <c r="L66" s="7">
        <v>2024</v>
      </c>
      <c r="M66" s="7" t="s">
        <v>78</v>
      </c>
      <c r="N66" s="7" t="s">
        <v>148</v>
      </c>
    </row>
    <row r="67" spans="1:14" ht="16.8" customHeight="1" x14ac:dyDescent="0.3">
      <c r="A67" s="7" t="s">
        <v>6</v>
      </c>
      <c r="B67" s="7" t="s">
        <v>137</v>
      </c>
      <c r="C67" s="129" t="s">
        <v>143</v>
      </c>
      <c r="D67" s="130">
        <v>1500</v>
      </c>
      <c r="E67" s="131">
        <v>0</v>
      </c>
      <c r="F67" s="16">
        <v>0.1</v>
      </c>
      <c r="G67" s="17">
        <v>1</v>
      </c>
      <c r="H67" s="17">
        <v>15</v>
      </c>
      <c r="I67" s="7" t="s">
        <v>77</v>
      </c>
      <c r="J67" s="17">
        <v>2</v>
      </c>
      <c r="K67" s="17">
        <v>2</v>
      </c>
      <c r="L67" s="7">
        <v>2025</v>
      </c>
      <c r="M67" s="7" t="s">
        <v>79</v>
      </c>
      <c r="N67" s="7" t="s">
        <v>149</v>
      </c>
    </row>
    <row r="68" spans="1:14" ht="16.8" customHeight="1" x14ac:dyDescent="0.3">
      <c r="A68" s="7" t="s">
        <v>7</v>
      </c>
      <c r="B68" s="7" t="s">
        <v>138</v>
      </c>
      <c r="C68" s="129" t="s">
        <v>144</v>
      </c>
      <c r="D68" s="9">
        <v>2000</v>
      </c>
      <c r="E68" s="16">
        <v>0</v>
      </c>
      <c r="F68" s="16">
        <v>0.15</v>
      </c>
      <c r="G68" s="17">
        <v>2</v>
      </c>
      <c r="H68" s="17">
        <v>30</v>
      </c>
      <c r="I68" s="7"/>
      <c r="J68" s="17">
        <v>3</v>
      </c>
      <c r="K68" s="17">
        <v>3</v>
      </c>
      <c r="L68" s="7">
        <v>2026</v>
      </c>
      <c r="M68" s="7" t="s">
        <v>80</v>
      </c>
      <c r="N68" s="7" t="s">
        <v>150</v>
      </c>
    </row>
    <row r="69" spans="1:14" x14ac:dyDescent="0.3">
      <c r="A69" s="7" t="s">
        <v>8</v>
      </c>
      <c r="B69" s="7" t="s">
        <v>139</v>
      </c>
      <c r="C69" s="7" t="s">
        <v>18</v>
      </c>
      <c r="D69" s="9">
        <v>2700</v>
      </c>
      <c r="E69" s="16">
        <v>0</v>
      </c>
      <c r="F69" s="16">
        <v>0.2</v>
      </c>
      <c r="G69" s="17">
        <v>3</v>
      </c>
      <c r="H69" s="17">
        <v>45</v>
      </c>
      <c r="I69" s="7"/>
      <c r="J69" s="17">
        <v>4</v>
      </c>
      <c r="K69" s="17">
        <v>4</v>
      </c>
      <c r="L69" s="7">
        <v>2027</v>
      </c>
      <c r="M69" s="7" t="s">
        <v>81</v>
      </c>
      <c r="N69" s="7"/>
    </row>
    <row r="70" spans="1:14" x14ac:dyDescent="0.3">
      <c r="A70" s="7" t="s">
        <v>10</v>
      </c>
      <c r="B70" s="7" t="s">
        <v>140</v>
      </c>
      <c r="C70" s="7" t="s">
        <v>19</v>
      </c>
      <c r="D70" s="9">
        <v>2200</v>
      </c>
      <c r="E70" s="16">
        <v>0</v>
      </c>
      <c r="F70" s="16">
        <v>0.25</v>
      </c>
      <c r="G70" s="17">
        <v>4</v>
      </c>
      <c r="H70" s="17"/>
      <c r="I70" s="7"/>
      <c r="J70" s="17">
        <v>5</v>
      </c>
      <c r="K70" s="17">
        <v>5</v>
      </c>
      <c r="L70" s="7">
        <v>2028</v>
      </c>
      <c r="M70" s="7" t="s">
        <v>82</v>
      </c>
      <c r="N70" s="7"/>
    </row>
    <row r="71" spans="1:14" x14ac:dyDescent="0.3">
      <c r="A71" s="7" t="s">
        <v>11</v>
      </c>
      <c r="B71" s="7" t="s">
        <v>141</v>
      </c>
      <c r="C71" s="7" t="s">
        <v>43</v>
      </c>
      <c r="D71" s="9">
        <v>1800</v>
      </c>
      <c r="E71" s="16">
        <v>0</v>
      </c>
      <c r="F71" s="16">
        <v>0.3</v>
      </c>
      <c r="G71" s="17">
        <v>5</v>
      </c>
      <c r="H71" s="17"/>
      <c r="I71" s="7"/>
      <c r="J71" s="17">
        <v>6</v>
      </c>
      <c r="K71" s="17">
        <v>6</v>
      </c>
      <c r="L71" s="7">
        <v>2029</v>
      </c>
      <c r="M71" s="7" t="s">
        <v>83</v>
      </c>
      <c r="N71" s="7"/>
    </row>
    <row r="72" spans="1:14" x14ac:dyDescent="0.3">
      <c r="A72" s="7" t="s">
        <v>13</v>
      </c>
      <c r="B72" s="7" t="s">
        <v>142</v>
      </c>
      <c r="C72" s="7" t="s">
        <v>44</v>
      </c>
      <c r="D72" s="9">
        <v>1500</v>
      </c>
      <c r="E72" s="16">
        <v>0</v>
      </c>
      <c r="F72" s="16"/>
      <c r="G72" s="17">
        <v>6</v>
      </c>
      <c r="H72" s="17"/>
      <c r="I72" s="7"/>
      <c r="J72" s="17">
        <v>7</v>
      </c>
      <c r="K72" s="17">
        <v>7</v>
      </c>
      <c r="L72" s="7">
        <v>2030</v>
      </c>
      <c r="M72" s="7" t="s">
        <v>84</v>
      </c>
      <c r="N72" s="7"/>
    </row>
    <row r="73" spans="1:14" x14ac:dyDescent="0.3">
      <c r="A73" s="7"/>
      <c r="B73" s="7" t="s">
        <v>29</v>
      </c>
      <c r="C73" s="7" t="s">
        <v>45</v>
      </c>
      <c r="D73" s="9">
        <v>4500</v>
      </c>
      <c r="E73" s="16">
        <v>0</v>
      </c>
      <c r="F73" s="16"/>
      <c r="G73" s="17">
        <v>7</v>
      </c>
      <c r="H73" s="17"/>
      <c r="I73" s="7"/>
      <c r="J73" s="17">
        <v>8</v>
      </c>
      <c r="K73" s="17">
        <v>8</v>
      </c>
      <c r="L73" s="7">
        <v>2031</v>
      </c>
      <c r="M73" s="7"/>
      <c r="N73" s="7"/>
    </row>
    <row r="74" spans="1:14" x14ac:dyDescent="0.3">
      <c r="A74" s="7"/>
      <c r="B74" s="7" t="s">
        <v>30</v>
      </c>
      <c r="C74" s="7" t="s">
        <v>46</v>
      </c>
      <c r="D74" s="9">
        <v>1500</v>
      </c>
      <c r="E74" s="16">
        <v>0</v>
      </c>
      <c r="F74" s="16"/>
      <c r="G74" s="17">
        <v>8</v>
      </c>
      <c r="H74" s="17"/>
      <c r="I74" s="7"/>
      <c r="J74" s="17">
        <v>9</v>
      </c>
      <c r="K74" s="17">
        <v>9</v>
      </c>
      <c r="L74" s="7">
        <v>2032</v>
      </c>
      <c r="M74" s="7"/>
      <c r="N74" s="7"/>
    </row>
    <row r="75" spans="1:14" x14ac:dyDescent="0.3">
      <c r="A75" s="7"/>
      <c r="B75" s="7" t="s">
        <v>31</v>
      </c>
      <c r="C75" s="7" t="s">
        <v>131</v>
      </c>
      <c r="D75" s="9">
        <v>2200</v>
      </c>
      <c r="E75" s="16">
        <v>0</v>
      </c>
      <c r="F75" s="16"/>
      <c r="G75" s="17">
        <v>9</v>
      </c>
      <c r="H75" s="17"/>
      <c r="I75" s="7"/>
      <c r="J75" s="17">
        <v>10</v>
      </c>
      <c r="K75" s="17">
        <v>10</v>
      </c>
      <c r="L75" s="7">
        <v>2033</v>
      </c>
      <c r="M75" s="7"/>
      <c r="N75" s="7"/>
    </row>
    <row r="76" spans="1:14" x14ac:dyDescent="0.3">
      <c r="A76" s="7"/>
      <c r="B76" s="7" t="s">
        <v>38</v>
      </c>
      <c r="C76" s="7" t="s">
        <v>132</v>
      </c>
      <c r="D76" s="9">
        <v>1800</v>
      </c>
      <c r="E76" s="16">
        <v>0</v>
      </c>
      <c r="F76" s="16"/>
      <c r="G76" s="17">
        <v>10</v>
      </c>
      <c r="H76" s="17"/>
      <c r="I76" s="7"/>
      <c r="J76" s="17">
        <v>11</v>
      </c>
      <c r="K76" s="17">
        <v>11</v>
      </c>
      <c r="L76" s="7">
        <v>2034</v>
      </c>
      <c r="M76" s="7"/>
      <c r="N76" s="7"/>
    </row>
    <row r="77" spans="1:14" x14ac:dyDescent="0.3">
      <c r="A77" s="7"/>
      <c r="B77" s="7" t="s">
        <v>39</v>
      </c>
      <c r="C77" s="7" t="s">
        <v>47</v>
      </c>
      <c r="D77" s="9">
        <v>2000</v>
      </c>
      <c r="E77" s="16">
        <v>0</v>
      </c>
      <c r="F77" s="16"/>
      <c r="G77" s="17">
        <v>11</v>
      </c>
      <c r="H77" s="17"/>
      <c r="I77" s="7"/>
      <c r="J77" s="17">
        <v>12</v>
      </c>
      <c r="K77" s="17">
        <v>12</v>
      </c>
      <c r="L77" s="7">
        <v>2035</v>
      </c>
      <c r="M77" s="7"/>
      <c r="N77" s="7"/>
    </row>
    <row r="78" spans="1:14" x14ac:dyDescent="0.3">
      <c r="A78" s="7"/>
      <c r="B78" s="7" t="s">
        <v>55</v>
      </c>
      <c r="C78" s="7" t="s">
        <v>48</v>
      </c>
      <c r="D78" s="9">
        <v>1800</v>
      </c>
      <c r="E78" s="16">
        <v>0</v>
      </c>
      <c r="F78" s="16"/>
      <c r="G78" s="17">
        <v>12</v>
      </c>
      <c r="H78" s="17"/>
      <c r="I78" s="7"/>
      <c r="J78" s="17">
        <v>13</v>
      </c>
      <c r="K78" s="17"/>
      <c r="L78" s="7">
        <v>2036</v>
      </c>
      <c r="M78" s="7"/>
      <c r="N78" s="7"/>
    </row>
    <row r="79" spans="1:14" x14ac:dyDescent="0.3">
      <c r="A79" s="7"/>
      <c r="B79" s="7" t="s">
        <v>58</v>
      </c>
      <c r="C79" s="7" t="s">
        <v>49</v>
      </c>
      <c r="D79" s="9">
        <v>1500</v>
      </c>
      <c r="E79" s="16">
        <v>0</v>
      </c>
      <c r="F79" s="16"/>
      <c r="G79" s="7"/>
      <c r="H79" s="17"/>
      <c r="I79" s="7"/>
      <c r="J79" s="17">
        <v>14</v>
      </c>
      <c r="K79" s="17"/>
      <c r="L79" s="7">
        <v>2037</v>
      </c>
      <c r="M79" s="7"/>
      <c r="N79" s="7"/>
    </row>
    <row r="80" spans="1:14" x14ac:dyDescent="0.3">
      <c r="A80" s="7"/>
      <c r="B80" s="7" t="s">
        <v>60</v>
      </c>
      <c r="C80" s="7" t="s">
        <v>50</v>
      </c>
      <c r="D80" s="9">
        <v>1000</v>
      </c>
      <c r="E80" s="16">
        <v>0</v>
      </c>
      <c r="F80" s="16"/>
      <c r="G80" s="1"/>
      <c r="H80" s="17"/>
      <c r="I80" s="7"/>
      <c r="J80" s="17">
        <v>15</v>
      </c>
      <c r="K80" s="17"/>
      <c r="L80" s="7">
        <v>2038</v>
      </c>
      <c r="M80" s="7"/>
      <c r="N80" s="7"/>
    </row>
    <row r="81" spans="1:14" x14ac:dyDescent="0.3">
      <c r="A81" s="7"/>
      <c r="B81" s="7" t="s">
        <v>63</v>
      </c>
      <c r="C81" s="7" t="s">
        <v>51</v>
      </c>
      <c r="D81" s="9">
        <v>3500</v>
      </c>
      <c r="E81" s="16">
        <v>0</v>
      </c>
      <c r="F81" s="16"/>
      <c r="G81" s="17"/>
      <c r="H81" s="17"/>
      <c r="I81" s="7"/>
      <c r="J81" s="17">
        <v>16</v>
      </c>
      <c r="K81" s="17"/>
      <c r="L81" s="7">
        <v>2039</v>
      </c>
      <c r="M81" s="7"/>
      <c r="N81" s="7"/>
    </row>
    <row r="82" spans="1:14" x14ac:dyDescent="0.3">
      <c r="A82" s="7"/>
      <c r="B82" s="7" t="s">
        <v>65</v>
      </c>
      <c r="C82" s="7" t="s">
        <v>52</v>
      </c>
      <c r="D82" s="9">
        <v>1200</v>
      </c>
      <c r="E82" s="16">
        <v>0</v>
      </c>
      <c r="F82" s="16"/>
      <c r="G82" s="17"/>
      <c r="H82" s="17"/>
      <c r="I82" s="7"/>
      <c r="J82" s="17">
        <v>17</v>
      </c>
      <c r="K82" s="17"/>
      <c r="L82" s="7">
        <v>2040</v>
      </c>
      <c r="M82" s="7"/>
      <c r="N82" s="7"/>
    </row>
    <row r="83" spans="1:14" x14ac:dyDescent="0.3">
      <c r="A83" s="7"/>
      <c r="B83" s="7" t="s">
        <v>153</v>
      </c>
      <c r="C83" s="7" t="s">
        <v>133</v>
      </c>
      <c r="D83" s="9">
        <v>1800</v>
      </c>
      <c r="E83" s="16">
        <v>0</v>
      </c>
      <c r="F83" s="16"/>
      <c r="G83" s="17"/>
      <c r="H83" s="17"/>
      <c r="I83" s="7"/>
      <c r="J83" s="17">
        <v>18</v>
      </c>
      <c r="K83" s="17"/>
      <c r="L83" s="7">
        <v>2041</v>
      </c>
      <c r="M83" s="7"/>
      <c r="N83" s="7"/>
    </row>
    <row r="84" spans="1:14" x14ac:dyDescent="0.3">
      <c r="A84" s="7"/>
      <c r="B84" s="7"/>
      <c r="C84" s="7" t="s">
        <v>134</v>
      </c>
      <c r="D84" s="9">
        <v>1500</v>
      </c>
      <c r="E84" s="16">
        <v>0</v>
      </c>
      <c r="F84" s="16"/>
      <c r="G84" s="17"/>
      <c r="H84" s="17"/>
      <c r="I84" s="7"/>
      <c r="J84" s="17">
        <v>19</v>
      </c>
      <c r="K84" s="17"/>
      <c r="L84" s="7">
        <v>2042</v>
      </c>
      <c r="M84" s="7"/>
      <c r="N84" s="7"/>
    </row>
    <row r="85" spans="1:14" x14ac:dyDescent="0.3">
      <c r="A85" s="7"/>
      <c r="B85" s="7"/>
      <c r="C85" s="7" t="s">
        <v>23</v>
      </c>
      <c r="D85" s="9">
        <v>600</v>
      </c>
      <c r="E85" s="16">
        <v>0</v>
      </c>
      <c r="F85" s="16"/>
      <c r="G85" s="17"/>
      <c r="H85" s="17"/>
      <c r="I85" s="7"/>
      <c r="J85" s="17">
        <v>20</v>
      </c>
      <c r="K85" s="17"/>
      <c r="L85" s="7">
        <v>2043</v>
      </c>
      <c r="M85" s="7"/>
      <c r="N85" s="7"/>
    </row>
    <row r="86" spans="1:14" x14ac:dyDescent="0.3">
      <c r="A86" s="7"/>
      <c r="B86" s="7"/>
      <c r="C86" s="7" t="s">
        <v>20</v>
      </c>
      <c r="D86" s="9">
        <v>1500</v>
      </c>
      <c r="E86" s="16">
        <v>0</v>
      </c>
      <c r="F86" s="16"/>
      <c r="G86" s="17"/>
      <c r="H86" s="17"/>
      <c r="I86" s="7"/>
      <c r="J86" s="17">
        <v>21</v>
      </c>
      <c r="K86" s="17"/>
      <c r="L86" s="7">
        <v>2044</v>
      </c>
      <c r="M86" s="7"/>
      <c r="N86" s="7"/>
    </row>
    <row r="87" spans="1:14" x14ac:dyDescent="0.3">
      <c r="A87" s="7"/>
      <c r="B87" s="7"/>
      <c r="C87" s="7" t="s">
        <v>21</v>
      </c>
      <c r="D87" s="9">
        <v>1000</v>
      </c>
      <c r="E87" s="16">
        <v>0</v>
      </c>
      <c r="F87" s="16"/>
      <c r="G87" s="17"/>
      <c r="H87" s="17"/>
      <c r="I87" s="7"/>
      <c r="J87" s="17">
        <v>22</v>
      </c>
      <c r="K87" s="17"/>
      <c r="L87" s="7">
        <v>2045</v>
      </c>
      <c r="M87" s="7"/>
      <c r="N87" s="7"/>
    </row>
    <row r="88" spans="1:14" x14ac:dyDescent="0.3">
      <c r="A88" s="7"/>
      <c r="B88" s="7"/>
      <c r="C88" s="7" t="s">
        <v>22</v>
      </c>
      <c r="D88" s="9">
        <v>1500</v>
      </c>
      <c r="E88" s="16">
        <v>0</v>
      </c>
      <c r="F88" s="16"/>
      <c r="G88" s="17"/>
      <c r="H88" s="17"/>
      <c r="I88" s="7"/>
      <c r="J88" s="17">
        <v>23</v>
      </c>
      <c r="K88" s="17"/>
      <c r="L88" s="7">
        <v>2046</v>
      </c>
      <c r="M88" s="7"/>
      <c r="N88" s="7"/>
    </row>
    <row r="89" spans="1:14" x14ac:dyDescent="0.3">
      <c r="A89" s="7"/>
      <c r="B89" s="7"/>
      <c r="C89" s="7" t="s">
        <v>32</v>
      </c>
      <c r="D89" s="9">
        <v>1450</v>
      </c>
      <c r="E89" s="16">
        <v>0.18</v>
      </c>
      <c r="F89" s="16"/>
      <c r="G89" s="17"/>
      <c r="H89" s="17"/>
      <c r="I89" s="7"/>
      <c r="J89" s="17">
        <v>24</v>
      </c>
      <c r="K89" s="17"/>
      <c r="L89" s="7">
        <v>2047</v>
      </c>
      <c r="M89" s="7"/>
      <c r="N89" s="7"/>
    </row>
    <row r="90" spans="1:14" x14ac:dyDescent="0.3">
      <c r="A90" s="7"/>
      <c r="B90" s="7"/>
      <c r="C90" s="7" t="s">
        <v>33</v>
      </c>
      <c r="D90" s="9">
        <v>2200</v>
      </c>
      <c r="E90" s="16">
        <v>0.18</v>
      </c>
      <c r="F90" s="16"/>
      <c r="G90" s="17"/>
      <c r="H90" s="17"/>
      <c r="I90" s="7"/>
      <c r="J90" s="17">
        <v>25</v>
      </c>
      <c r="K90" s="17"/>
      <c r="L90" s="7">
        <v>2048</v>
      </c>
      <c r="M90" s="7"/>
      <c r="N90" s="7"/>
    </row>
    <row r="91" spans="1:14" x14ac:dyDescent="0.3">
      <c r="A91" s="7"/>
      <c r="B91" s="7"/>
      <c r="C91" s="7" t="s">
        <v>34</v>
      </c>
      <c r="D91" s="9">
        <v>3300</v>
      </c>
      <c r="E91" s="16">
        <v>0.18</v>
      </c>
      <c r="F91" s="16"/>
      <c r="G91" s="17"/>
      <c r="H91" s="17"/>
      <c r="I91" s="7"/>
      <c r="J91" s="17">
        <v>26</v>
      </c>
      <c r="K91" s="17"/>
      <c r="L91" s="7">
        <v>2049</v>
      </c>
      <c r="M91" s="7"/>
      <c r="N91" s="7"/>
    </row>
    <row r="92" spans="1:14" x14ac:dyDescent="0.3">
      <c r="A92" s="7"/>
      <c r="B92" s="7"/>
      <c r="C92" s="7" t="s">
        <v>35</v>
      </c>
      <c r="D92" s="9">
        <v>2420</v>
      </c>
      <c r="E92" s="16">
        <v>0.18</v>
      </c>
      <c r="F92" s="16"/>
      <c r="G92" s="17"/>
      <c r="H92" s="17"/>
      <c r="I92" s="7"/>
      <c r="J92" s="17">
        <v>27</v>
      </c>
      <c r="K92" s="17"/>
      <c r="L92" s="7">
        <v>2050</v>
      </c>
      <c r="M92" s="7"/>
      <c r="N92" s="7"/>
    </row>
    <row r="93" spans="1:14" x14ac:dyDescent="0.3">
      <c r="A93" s="7"/>
      <c r="B93" s="7"/>
      <c r="C93" s="7" t="s">
        <v>36</v>
      </c>
      <c r="D93" s="9">
        <v>3300</v>
      </c>
      <c r="E93" s="16">
        <v>0.18</v>
      </c>
      <c r="F93" s="16"/>
      <c r="G93" s="17"/>
      <c r="H93" s="17"/>
      <c r="I93" s="7"/>
      <c r="J93" s="17">
        <v>28</v>
      </c>
      <c r="K93" s="17"/>
      <c r="L93" s="7">
        <v>2051</v>
      </c>
      <c r="M93" s="7"/>
      <c r="N93" s="7"/>
    </row>
    <row r="94" spans="1:14" x14ac:dyDescent="0.3">
      <c r="A94" s="7"/>
      <c r="B94" s="7"/>
      <c r="C94" s="7" t="s">
        <v>37</v>
      </c>
      <c r="D94" s="9">
        <v>4400</v>
      </c>
      <c r="E94" s="16">
        <v>0.18</v>
      </c>
      <c r="F94" s="16"/>
      <c r="G94" s="17"/>
      <c r="H94" s="17"/>
      <c r="I94" s="7"/>
      <c r="J94" s="17">
        <v>29</v>
      </c>
      <c r="K94" s="17"/>
      <c r="L94" s="7">
        <v>2052</v>
      </c>
      <c r="M94" s="7"/>
      <c r="N94" s="7"/>
    </row>
    <row r="95" spans="1:14" x14ac:dyDescent="0.3">
      <c r="A95" s="7"/>
      <c r="B95" s="7"/>
      <c r="C95" s="7" t="s">
        <v>9</v>
      </c>
      <c r="D95" s="9">
        <v>3200</v>
      </c>
      <c r="E95" s="16">
        <v>0.05</v>
      </c>
      <c r="F95" s="16"/>
      <c r="G95" s="17"/>
      <c r="H95" s="17"/>
      <c r="I95" s="7"/>
      <c r="J95" s="17">
        <v>30</v>
      </c>
      <c r="K95" s="17"/>
      <c r="L95" s="7">
        <v>2053</v>
      </c>
      <c r="M95" s="7"/>
      <c r="N95" s="7"/>
    </row>
    <row r="96" spans="1:14" x14ac:dyDescent="0.3">
      <c r="A96" s="7"/>
      <c r="B96" s="7"/>
      <c r="C96" s="7" t="s">
        <v>40</v>
      </c>
      <c r="D96" s="9">
        <v>1900</v>
      </c>
      <c r="E96" s="16">
        <v>0.05</v>
      </c>
      <c r="F96" s="16"/>
      <c r="G96" s="17"/>
      <c r="H96" s="17"/>
      <c r="I96" s="7"/>
      <c r="J96" s="17">
        <v>31</v>
      </c>
      <c r="K96" s="17"/>
      <c r="L96" s="7">
        <v>2054</v>
      </c>
      <c r="M96" s="7"/>
      <c r="N96" s="7"/>
    </row>
    <row r="97" spans="1:14" x14ac:dyDescent="0.3">
      <c r="A97" s="7"/>
      <c r="B97" s="7"/>
      <c r="C97" s="7" t="s">
        <v>41</v>
      </c>
      <c r="D97" s="9">
        <v>2200</v>
      </c>
      <c r="E97" s="16">
        <v>0.05</v>
      </c>
      <c r="F97" s="16"/>
      <c r="G97" s="17"/>
      <c r="H97" s="17"/>
      <c r="I97" s="7"/>
      <c r="J97" s="17"/>
      <c r="K97" s="17"/>
      <c r="L97" s="7">
        <v>2055</v>
      </c>
      <c r="M97" s="7"/>
      <c r="N97" s="7"/>
    </row>
    <row r="98" spans="1:14" x14ac:dyDescent="0.3">
      <c r="A98" s="7"/>
      <c r="B98" s="7"/>
      <c r="C98" s="7" t="s">
        <v>42</v>
      </c>
      <c r="D98" s="9">
        <v>2500</v>
      </c>
      <c r="E98" s="16">
        <v>0.05</v>
      </c>
      <c r="F98" s="16"/>
      <c r="G98" s="17"/>
      <c r="H98" s="17"/>
      <c r="I98" s="7"/>
      <c r="J98" s="17"/>
      <c r="K98" s="17"/>
      <c r="L98" s="7">
        <v>2056</v>
      </c>
      <c r="M98" s="7"/>
      <c r="N98" s="7"/>
    </row>
    <row r="99" spans="1:14" x14ac:dyDescent="0.3">
      <c r="A99" s="7"/>
      <c r="B99" s="7"/>
      <c r="C99" s="7" t="s">
        <v>54</v>
      </c>
      <c r="D99" s="9">
        <v>1750</v>
      </c>
      <c r="E99" s="16">
        <v>0.05</v>
      </c>
      <c r="F99" s="16"/>
      <c r="G99" s="17"/>
      <c r="H99" s="17"/>
      <c r="I99" s="7"/>
      <c r="J99" s="17"/>
      <c r="K99" s="17"/>
      <c r="L99" s="7">
        <v>2057</v>
      </c>
      <c r="M99" s="7"/>
      <c r="N99" s="7"/>
    </row>
    <row r="100" spans="1:14" x14ac:dyDescent="0.3">
      <c r="A100" s="7"/>
      <c r="B100" s="7"/>
      <c r="C100" s="7" t="s">
        <v>53</v>
      </c>
      <c r="D100" s="9">
        <v>1500</v>
      </c>
      <c r="E100" s="16">
        <v>0.05</v>
      </c>
      <c r="F100" s="16"/>
      <c r="G100" s="17"/>
      <c r="H100" s="17"/>
      <c r="I100" s="7"/>
      <c r="J100" s="17"/>
      <c r="K100" s="17"/>
      <c r="L100" s="7">
        <v>2058</v>
      </c>
      <c r="M100" s="7"/>
      <c r="N100" s="7"/>
    </row>
    <row r="101" spans="1:14" x14ac:dyDescent="0.3">
      <c r="A101" s="7"/>
      <c r="B101" s="7"/>
      <c r="C101" s="7" t="s">
        <v>56</v>
      </c>
      <c r="D101" s="9">
        <v>2600</v>
      </c>
      <c r="E101" s="16">
        <v>0.18</v>
      </c>
      <c r="F101" s="16"/>
      <c r="G101" s="17"/>
      <c r="H101" s="17"/>
      <c r="I101" s="7"/>
      <c r="J101" s="17"/>
      <c r="K101" s="17"/>
      <c r="L101" s="7">
        <v>2059</v>
      </c>
      <c r="M101" s="7"/>
      <c r="N101" s="7"/>
    </row>
    <row r="102" spans="1:14" x14ac:dyDescent="0.3">
      <c r="A102" s="7"/>
      <c r="B102" s="7"/>
      <c r="C102" s="7" t="s">
        <v>57</v>
      </c>
      <c r="D102" s="9">
        <v>3500</v>
      </c>
      <c r="E102" s="16">
        <v>0.18</v>
      </c>
      <c r="F102" s="16"/>
      <c r="G102" s="17"/>
      <c r="H102" s="17"/>
      <c r="I102" s="7"/>
      <c r="J102" s="87"/>
      <c r="K102" s="87"/>
      <c r="L102" s="88">
        <v>2060</v>
      </c>
      <c r="M102" s="7"/>
      <c r="N102" s="7"/>
    </row>
    <row r="103" spans="1:14" x14ac:dyDescent="0.3">
      <c r="A103" s="7"/>
      <c r="B103" s="7"/>
      <c r="C103" s="7" t="s">
        <v>59</v>
      </c>
      <c r="D103" s="9">
        <v>3000</v>
      </c>
      <c r="E103" s="16">
        <v>0.18</v>
      </c>
      <c r="F103" s="16"/>
      <c r="G103" s="17"/>
      <c r="H103" s="17"/>
      <c r="I103" s="7"/>
      <c r="J103" s="17"/>
      <c r="K103" s="17"/>
      <c r="L103" s="7"/>
      <c r="M103" s="7"/>
      <c r="N103" s="7"/>
    </row>
    <row r="104" spans="1:14" x14ac:dyDescent="0.3">
      <c r="A104" s="7"/>
      <c r="B104" s="7"/>
      <c r="C104" s="7" t="s">
        <v>61</v>
      </c>
      <c r="D104" s="9">
        <v>3500</v>
      </c>
      <c r="E104" s="16">
        <v>0.18</v>
      </c>
      <c r="F104" s="16"/>
      <c r="G104" s="17"/>
      <c r="H104" s="17"/>
      <c r="I104" s="7"/>
      <c r="J104" s="17"/>
      <c r="K104" s="17"/>
      <c r="L104" s="7"/>
      <c r="M104" s="7"/>
      <c r="N104" s="7"/>
    </row>
    <row r="105" spans="1:14" x14ac:dyDescent="0.3">
      <c r="A105" s="7"/>
      <c r="B105" s="7"/>
      <c r="C105" s="7" t="s">
        <v>62</v>
      </c>
      <c r="D105" s="9">
        <v>2800</v>
      </c>
      <c r="E105" s="16">
        <v>0.18</v>
      </c>
      <c r="F105" s="16"/>
      <c r="G105" s="17"/>
      <c r="H105" s="17"/>
      <c r="I105" s="7"/>
      <c r="J105" s="17"/>
      <c r="K105" s="17"/>
      <c r="L105" s="7"/>
      <c r="M105" s="7"/>
      <c r="N105" s="7"/>
    </row>
    <row r="106" spans="1:14" x14ac:dyDescent="0.3">
      <c r="A106" s="7"/>
      <c r="B106" s="7"/>
      <c r="C106" s="7" t="s">
        <v>12</v>
      </c>
      <c r="D106" s="9">
        <v>2800</v>
      </c>
      <c r="E106" s="16">
        <v>0.18</v>
      </c>
      <c r="F106" s="16"/>
      <c r="G106" s="17"/>
      <c r="H106" s="17"/>
      <c r="I106" s="7"/>
      <c r="J106" s="17"/>
      <c r="K106" s="17"/>
      <c r="L106" s="7"/>
      <c r="M106" s="7"/>
      <c r="N106" s="7"/>
    </row>
    <row r="107" spans="1:14" x14ac:dyDescent="0.3">
      <c r="A107" s="7"/>
      <c r="B107" s="7"/>
      <c r="C107" s="7" t="s">
        <v>64</v>
      </c>
      <c r="D107" s="9">
        <v>2200</v>
      </c>
      <c r="E107" s="16">
        <v>0.18</v>
      </c>
      <c r="F107" s="132"/>
      <c r="G107" s="137"/>
      <c r="H107" s="137"/>
      <c r="I107" s="138"/>
      <c r="J107" s="137"/>
      <c r="K107" s="137"/>
      <c r="L107" s="138"/>
      <c r="M107" s="138"/>
      <c r="N107" s="138"/>
    </row>
    <row r="108" spans="1:14" x14ac:dyDescent="0.3">
      <c r="A108" s="88"/>
      <c r="B108" s="88"/>
      <c r="C108" s="88" t="s">
        <v>14</v>
      </c>
      <c r="D108" s="133">
        <v>3000</v>
      </c>
      <c r="E108" s="134">
        <v>0.18</v>
      </c>
      <c r="F108" s="135"/>
      <c r="G108" s="139"/>
      <c r="H108" s="139"/>
      <c r="I108" s="140"/>
      <c r="J108" s="139"/>
      <c r="K108" s="139"/>
      <c r="L108" s="140"/>
      <c r="M108" s="140"/>
      <c r="N108" s="140"/>
    </row>
    <row r="109" spans="1:14" x14ac:dyDescent="0.3">
      <c r="A109" s="88"/>
      <c r="B109" s="88"/>
      <c r="C109" s="7" t="s">
        <v>146</v>
      </c>
      <c r="D109" s="9">
        <v>322.02999999999997</v>
      </c>
      <c r="E109" s="16">
        <v>0.18</v>
      </c>
      <c r="F109" s="88"/>
      <c r="G109" s="88"/>
      <c r="H109" s="88"/>
      <c r="I109" s="88"/>
      <c r="J109" s="88"/>
      <c r="K109" s="88"/>
      <c r="L109" s="88"/>
      <c r="M109" s="88"/>
      <c r="N109" s="88"/>
    </row>
    <row r="110" spans="1:14" x14ac:dyDescent="0.3">
      <c r="A110" s="88"/>
      <c r="B110" s="88"/>
      <c r="C110" s="88" t="s">
        <v>145</v>
      </c>
      <c r="D110" s="133">
        <v>4237.29</v>
      </c>
      <c r="E110" s="134">
        <v>0.18</v>
      </c>
      <c r="F110" s="88"/>
      <c r="G110" s="88"/>
      <c r="H110" s="88"/>
      <c r="I110" s="88"/>
      <c r="J110" s="88"/>
      <c r="K110" s="88"/>
      <c r="L110" s="88"/>
      <c r="M110" s="88"/>
      <c r="N110" s="88"/>
    </row>
    <row r="111" spans="1:14" x14ac:dyDescent="0.3">
      <c r="A111" s="88"/>
      <c r="B111" s="88"/>
      <c r="C111" s="88" t="s">
        <v>154</v>
      </c>
      <c r="D111" s="133">
        <v>2700</v>
      </c>
      <c r="E111" s="134">
        <v>0.18</v>
      </c>
      <c r="F111" s="88"/>
      <c r="G111" s="88"/>
      <c r="H111" s="88"/>
      <c r="I111" s="88"/>
      <c r="J111" s="88"/>
      <c r="K111" s="88"/>
      <c r="L111" s="88"/>
      <c r="M111" s="88"/>
      <c r="N111" s="88"/>
    </row>
    <row r="112" spans="1:14" x14ac:dyDescent="0.3">
      <c r="A112" s="88"/>
      <c r="B112" s="88"/>
      <c r="C112" s="88" t="s">
        <v>155</v>
      </c>
      <c r="D112" s="133">
        <v>2250</v>
      </c>
      <c r="E112" s="134">
        <v>0.18</v>
      </c>
      <c r="F112" s="88"/>
      <c r="G112" s="88"/>
      <c r="H112" s="88"/>
      <c r="I112" s="88"/>
      <c r="J112" s="88"/>
      <c r="K112" s="88"/>
      <c r="L112" s="88"/>
      <c r="M112" s="88"/>
      <c r="N112" s="88"/>
    </row>
    <row r="113" spans="1:14" ht="16.2" thickBot="1" x14ac:dyDescent="0.35">
      <c r="A113" s="8"/>
      <c r="B113" s="8"/>
      <c r="C113" s="8" t="s">
        <v>156</v>
      </c>
      <c r="D113" s="10">
        <v>1875</v>
      </c>
      <c r="E113" s="18">
        <v>0.18</v>
      </c>
      <c r="F113" s="8"/>
      <c r="G113" s="8"/>
      <c r="H113" s="8"/>
      <c r="I113" s="8"/>
      <c r="J113" s="8"/>
      <c r="K113" s="8"/>
      <c r="L113" s="8"/>
      <c r="M113" s="8"/>
      <c r="N113" s="8"/>
    </row>
  </sheetData>
  <mergeCells count="2">
    <mergeCell ref="A1:F1"/>
    <mergeCell ref="A63:N6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InvoiceGenerator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SHARMA</dc:creator>
  <cp:lastModifiedBy>AANCHAL SHARMA</cp:lastModifiedBy>
  <cp:lastPrinted>2026-03-02T07:09:53Z</cp:lastPrinted>
  <dcterms:created xsi:type="dcterms:W3CDTF">2026-02-28T12:44:38Z</dcterms:created>
  <dcterms:modified xsi:type="dcterms:W3CDTF">2026-05-02T04:30:27Z</dcterms:modified>
</cp:coreProperties>
</file>